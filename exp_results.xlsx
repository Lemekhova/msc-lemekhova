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lga\Documents\Магистратура_ВШЭ\ВКР\Exp\"/>
    </mc:Choice>
  </mc:AlternateContent>
  <xr:revisionPtr revIDLastSave="0" documentId="13_ncr:1_{D4C3E6BF-C60E-4F69-917E-BEEF6BDE6F1D}" xr6:coauthVersionLast="47" xr6:coauthVersionMax="47" xr10:uidLastSave="{00000000-0000-0000-0000-000000000000}"/>
  <bookViews>
    <workbookView xWindow="-98" yWindow="-98" windowWidth="21795" windowHeight="12975" activeTab="5" xr2:uid="{00000000-000D-0000-FFFF-FFFF00000000}"/>
  </bookViews>
  <sheets>
    <sheet name="100%" sheetId="8" r:id="rId1"/>
    <sheet name="50%" sheetId="9" r:id="rId2"/>
    <sheet name="10%" sheetId="10" r:id="rId3"/>
    <sheet name="5%" sheetId="11" r:id="rId4"/>
    <sheet name="1%" sheetId="6" r:id="rId5"/>
    <sheet name="all" sheetId="12" r:id="rId6"/>
  </sheets>
  <calcPr calcId="191029"/>
</workbook>
</file>

<file path=xl/calcChain.xml><?xml version="1.0" encoding="utf-8"?>
<calcChain xmlns="http://schemas.openxmlformats.org/spreadsheetml/2006/main">
  <c r="D88" i="12" l="1"/>
  <c r="D87" i="12"/>
  <c r="D86" i="12"/>
  <c r="D85" i="12"/>
  <c r="D84" i="12"/>
  <c r="D83" i="12"/>
  <c r="D82" i="12"/>
  <c r="D81" i="12"/>
  <c r="D80" i="12"/>
  <c r="D79" i="12"/>
  <c r="D78" i="12"/>
  <c r="D77" i="12"/>
  <c r="D14" i="10"/>
  <c r="D10" i="10"/>
  <c r="D6" i="10"/>
  <c r="D13" i="10"/>
  <c r="D9" i="10"/>
  <c r="D5" i="10"/>
  <c r="D12" i="10"/>
  <c r="D8" i="10"/>
  <c r="D4" i="10"/>
  <c r="D11" i="10"/>
  <c r="D7" i="10"/>
  <c r="D3" i="10"/>
  <c r="D125" i="12"/>
  <c r="D124" i="12"/>
  <c r="D123" i="12"/>
  <c r="D122" i="12"/>
  <c r="D120" i="12"/>
  <c r="D119" i="12"/>
  <c r="D118" i="12"/>
  <c r="D116" i="12"/>
  <c r="D115" i="12"/>
  <c r="D114" i="12"/>
  <c r="D113" i="12"/>
  <c r="D14" i="11"/>
  <c r="D13" i="11"/>
  <c r="D9" i="11"/>
  <c r="D5" i="11"/>
  <c r="D12" i="11"/>
  <c r="D8" i="11"/>
  <c r="D4" i="11"/>
  <c r="D11" i="11"/>
  <c r="D7" i="11"/>
  <c r="D3" i="11"/>
  <c r="D2" i="11"/>
  <c r="D20" i="8"/>
  <c r="D16" i="8"/>
  <c r="D23" i="8"/>
  <c r="D19" i="8"/>
  <c r="D15" i="8"/>
  <c r="D186" i="12"/>
  <c r="D185" i="12"/>
  <c r="D184" i="12"/>
  <c r="D183" i="12"/>
  <c r="D182" i="12"/>
  <c r="D181" i="12"/>
  <c r="D180" i="12"/>
  <c r="D179" i="12"/>
  <c r="D178" i="12"/>
  <c r="D177" i="12"/>
  <c r="D176" i="12"/>
  <c r="D175" i="12"/>
  <c r="D174" i="12"/>
  <c r="D173" i="12"/>
  <c r="D172" i="12"/>
  <c r="D171" i="12"/>
  <c r="D170" i="12"/>
  <c r="D169" i="12"/>
  <c r="D168" i="12"/>
  <c r="D167" i="12"/>
  <c r="D166" i="12"/>
  <c r="D165" i="12"/>
  <c r="D164" i="12"/>
  <c r="D163" i="12"/>
  <c r="D149" i="12"/>
  <c r="D148" i="12"/>
  <c r="D147" i="12"/>
  <c r="D146" i="12"/>
  <c r="D145" i="12"/>
  <c r="D144" i="12"/>
  <c r="D143" i="12"/>
  <c r="D142" i="12"/>
  <c r="D141" i="12"/>
  <c r="D140" i="12"/>
  <c r="D139" i="12"/>
  <c r="D138" i="12"/>
  <c r="D137" i="12"/>
  <c r="D136" i="12"/>
  <c r="D135" i="12"/>
  <c r="D134" i="12"/>
  <c r="D133" i="12"/>
  <c r="D132" i="12"/>
  <c r="D131" i="12"/>
  <c r="D130" i="12"/>
  <c r="D129" i="12"/>
  <c r="D128" i="12"/>
  <c r="D127" i="12"/>
  <c r="D126" i="12"/>
  <c r="D112" i="12"/>
  <c r="D111" i="12"/>
  <c r="D110" i="12"/>
  <c r="D109" i="12"/>
  <c r="D108" i="12"/>
  <c r="D107" i="12"/>
  <c r="D106" i="12"/>
  <c r="D105" i="12"/>
  <c r="D104" i="12"/>
  <c r="D103" i="12"/>
  <c r="D102" i="12"/>
  <c r="D101" i="12"/>
  <c r="D100" i="12"/>
  <c r="D99" i="12"/>
  <c r="D98" i="12"/>
  <c r="D97" i="12"/>
  <c r="D96" i="12"/>
  <c r="D95" i="12"/>
  <c r="D94" i="12"/>
  <c r="D93" i="12"/>
  <c r="D92" i="12"/>
  <c r="D91" i="12"/>
  <c r="D90" i="12"/>
  <c r="D89" i="12"/>
  <c r="D75" i="12"/>
  <c r="D74" i="12"/>
  <c r="D73" i="12"/>
  <c r="D72" i="12"/>
  <c r="D71" i="12"/>
  <c r="D70" i="12"/>
  <c r="D69" i="12"/>
  <c r="D68" i="12"/>
  <c r="D67" i="12"/>
  <c r="D66" i="12"/>
  <c r="D65" i="12"/>
  <c r="D64" i="12"/>
  <c r="D63" i="12"/>
  <c r="D62" i="12"/>
  <c r="D61" i="12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0"/>
  <c r="D37" i="10"/>
  <c r="D36" i="10"/>
  <c r="D35" i="10"/>
  <c r="D34" i="10"/>
  <c r="D33" i="10"/>
  <c r="D32" i="10"/>
  <c r="D31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38" i="9"/>
  <c r="D37" i="9"/>
  <c r="D36" i="9"/>
  <c r="D35" i="9"/>
  <c r="D34" i="9"/>
  <c r="D33" i="9"/>
  <c r="D32" i="9"/>
  <c r="D31" i="9"/>
  <c r="D30" i="9"/>
  <c r="D29" i="9"/>
  <c r="D28" i="9"/>
  <c r="D27" i="9"/>
  <c r="D35" i="11"/>
  <c r="D36" i="11"/>
  <c r="D37" i="11"/>
  <c r="D38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D26" i="9"/>
  <c r="D25" i="9"/>
  <c r="D24" i="9"/>
  <c r="D23" i="9"/>
  <c r="D22" i="9"/>
  <c r="D21" i="9"/>
  <c r="D20" i="9"/>
  <c r="D19" i="9"/>
  <c r="D18" i="9"/>
  <c r="D17" i="9"/>
  <c r="D16" i="9"/>
  <c r="D15" i="9"/>
  <c r="D21" i="11"/>
  <c r="D20" i="11"/>
  <c r="D19" i="11"/>
  <c r="D18" i="11"/>
  <c r="D17" i="11"/>
  <c r="D16" i="11"/>
  <c r="D15" i="11"/>
  <c r="D26" i="6"/>
  <c r="D22" i="6"/>
  <c r="D18" i="6"/>
  <c r="D25" i="6"/>
  <c r="D21" i="6"/>
  <c r="D17" i="6"/>
  <c r="D24" i="6"/>
  <c r="D20" i="6"/>
  <c r="D16" i="6"/>
  <c r="D23" i="6"/>
  <c r="D19" i="6"/>
  <c r="D15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14" i="9"/>
  <c r="D10" i="9"/>
  <c r="D6" i="9"/>
  <c r="D13" i="9"/>
  <c r="D9" i="9"/>
  <c r="D5" i="9"/>
  <c r="D12" i="9"/>
  <c r="D8" i="9"/>
  <c r="D4" i="9"/>
  <c r="D11" i="9"/>
  <c r="D7" i="9"/>
  <c r="D3" i="9"/>
  <c r="D2" i="9"/>
</calcChain>
</file>

<file path=xl/sharedStrings.xml><?xml version="1.0" encoding="utf-8"?>
<sst xmlns="http://schemas.openxmlformats.org/spreadsheetml/2006/main" count="832" uniqueCount="23">
  <si>
    <t>modules</t>
  </si>
  <si>
    <t>baseline</t>
  </si>
  <si>
    <t>rank</t>
  </si>
  <si>
    <t>time, min</t>
  </si>
  <si>
    <t>LoRA</t>
  </si>
  <si>
    <t>loss</t>
  </si>
  <si>
    <t>accuracy</t>
  </si>
  <si>
    <t>F1</t>
  </si>
  <si>
    <t>q+v</t>
  </si>
  <si>
    <t>q+k+v</t>
  </si>
  <si>
    <t>q+k+v+o</t>
  </si>
  <si>
    <t>gpu, gb</t>
  </si>
  <si>
    <t>QLoRA nf4</t>
  </si>
  <si>
    <t>QLoRA fp4</t>
  </si>
  <si>
    <t>100% датасета</t>
  </si>
  <si>
    <t>1% датасета</t>
  </si>
  <si>
    <t>50% датасета</t>
  </si>
  <si>
    <t>10% датасета</t>
  </si>
  <si>
    <t>5% датасета</t>
  </si>
  <si>
    <t>-</t>
  </si>
  <si>
    <t>OrthoGeoLoRA</t>
  </si>
  <si>
    <t>% датасета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</si>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</sst>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b/>
      <sz val="11"/>
      <color rgb="FFFF0000"/>
      <name val="Courier New"/>
      <family val="3"/>
      <charset val="204"/>
    </font>
    <font>
      <sz val="12"/>
      <color rgb="FFFF0000"/>
      <name val="Calibri"/>
      <family val="2"/>
      <scheme val="minor"/>
    </font>
    <font>
      <b/>
      <sz val="12"/>
      <name val="Calibri"/>
      <family val="2"/>
      <charset val="204"/>
      <scheme val="minor"/>
    </font>
    <font>
      <sz val="8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00B05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9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" fontId="0" fillId="0" borderId="0" xfId="0" applyNumberFormat="1" applyAlignment="1">
      <alignment horizontal="center" vertical="center"/>
    </xf>
    <xf numFmtId="0" fontId="1" fillId="0" borderId="0" xfId="0" applyFont="1" applyAlignment="1">
      <alignment vertical="center"/>
    </xf>
    <xf numFmtId="2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2" fontId="0" fillId="2" borderId="1" xfId="0" applyNumberForma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5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2" fontId="0" fillId="2" borderId="4" xfId="0" applyNumberFormat="1" applyFill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/>
    </xf>
    <xf numFmtId="2" fontId="0" fillId="2" borderId="9" xfId="0" applyNumberFormat="1" applyFill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0" fontId="1" fillId="0" borderId="11" xfId="0" applyFont="1" applyBorder="1"/>
    <xf numFmtId="0" fontId="1" fillId="0" borderId="12" xfId="0" applyFont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2" fillId="0" borderId="11" xfId="0" applyFont="1" applyBorder="1"/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/>
    </xf>
    <xf numFmtId="2" fontId="0" fillId="2" borderId="16" xfId="0" applyNumberFormat="1" applyFill="1" applyBorder="1" applyAlignment="1">
      <alignment horizontal="center" vertical="center"/>
    </xf>
    <xf numFmtId="2" fontId="0" fillId="2" borderId="2" xfId="0" applyNumberFormat="1" applyFill="1" applyBorder="1" applyAlignment="1">
      <alignment horizontal="center" vertical="center"/>
    </xf>
    <xf numFmtId="2" fontId="0" fillId="2" borderId="15" xfId="0" applyNumberFormat="1" applyFill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2" fontId="0" fillId="2" borderId="5" xfId="0" applyNumberFormat="1" applyFill="1" applyBorder="1" applyAlignment="1">
      <alignment horizontal="center" vertical="center"/>
    </xf>
    <xf numFmtId="2" fontId="0" fillId="2" borderId="7" xfId="0" applyNumberFormat="1" applyFill="1" applyBorder="1" applyAlignment="1">
      <alignment horizontal="center" vertical="center"/>
    </xf>
    <xf numFmtId="2" fontId="0" fillId="2" borderId="10" xfId="0" applyNumberForma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2" fontId="0" fillId="2" borderId="3" xfId="0" applyNumberFormat="1" applyFill="1" applyBorder="1" applyAlignment="1">
      <alignment horizontal="center" vertical="center"/>
    </xf>
    <xf numFmtId="2" fontId="0" fillId="2" borderId="6" xfId="0" applyNumberForma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2" fontId="8" fillId="2" borderId="16" xfId="0" applyNumberFormat="1" applyFont="1" applyFill="1" applyBorder="1" applyAlignment="1">
      <alignment horizontal="center" vertical="center"/>
    </xf>
    <xf numFmtId="2" fontId="8" fillId="0" borderId="4" xfId="0" applyNumberFormat="1" applyFont="1" applyBorder="1" applyAlignment="1">
      <alignment horizontal="center" vertical="center"/>
    </xf>
    <xf numFmtId="2" fontId="8" fillId="2" borderId="4" xfId="0" applyNumberFormat="1" applyFont="1" applyFill="1" applyBorder="1" applyAlignment="1">
      <alignment horizontal="center" vertical="center"/>
    </xf>
    <xf numFmtId="2" fontId="8" fillId="2" borderId="5" xfId="0" applyNumberFormat="1" applyFont="1" applyFill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2" fontId="8" fillId="2" borderId="1" xfId="0" applyNumberFormat="1" applyFont="1" applyFill="1" applyBorder="1" applyAlignment="1">
      <alignment horizontal="center" vertical="center"/>
    </xf>
    <xf numFmtId="2" fontId="8" fillId="2" borderId="7" xfId="0" applyNumberFormat="1" applyFont="1" applyFill="1" applyBorder="1" applyAlignment="1">
      <alignment horizontal="center" vertical="center"/>
    </xf>
    <xf numFmtId="2" fontId="8" fillId="2" borderId="15" xfId="0" applyNumberFormat="1" applyFont="1" applyFill="1" applyBorder="1" applyAlignment="1">
      <alignment horizontal="center" vertical="center"/>
    </xf>
    <xf numFmtId="2" fontId="8" fillId="0" borderId="9" xfId="0" applyNumberFormat="1" applyFont="1" applyBorder="1" applyAlignment="1">
      <alignment horizontal="center" vertical="center"/>
    </xf>
    <xf numFmtId="2" fontId="8" fillId="2" borderId="9" xfId="0" applyNumberFormat="1" applyFont="1" applyFill="1" applyBorder="1" applyAlignment="1">
      <alignment horizontal="center" vertical="center"/>
    </xf>
    <xf numFmtId="2" fontId="8" fillId="2" borderId="10" xfId="0" applyNumberFormat="1" applyFont="1" applyFill="1" applyBorder="1" applyAlignment="1">
      <alignment horizontal="center" vertical="center"/>
    </xf>
    <xf numFmtId="2" fontId="8" fillId="2" borderId="3" xfId="0" applyNumberFormat="1" applyFont="1" applyFill="1" applyBorder="1" applyAlignment="1">
      <alignment horizontal="center" vertical="center"/>
    </xf>
    <xf numFmtId="2" fontId="8" fillId="2" borderId="6" xfId="0" applyNumberFormat="1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0" borderId="0" xfId="0" applyFont="1"/>
    <xf numFmtId="2" fontId="0" fillId="2" borderId="14" xfId="0" applyNumberFormat="1" applyFill="1" applyBorder="1" applyAlignment="1">
      <alignment horizontal="center" vertical="center"/>
    </xf>
    <xf numFmtId="2" fontId="0" fillId="0" borderId="0" xfId="0" applyNumberFormat="1"/>
    <xf numFmtId="0" fontId="1" fillId="0" borderId="17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2" fontId="0" fillId="2" borderId="20" xfId="0" applyNumberFormat="1" applyFill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2" fontId="0" fillId="2" borderId="22" xfId="0" applyNumberFormat="1" applyFill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2" fontId="0" fillId="2" borderId="23" xfId="0" applyNumberFormat="1" applyFill="1" applyBorder="1" applyAlignment="1">
      <alignment horizontal="center" vertical="center"/>
    </xf>
    <xf numFmtId="2" fontId="0" fillId="2" borderId="24" xfId="0" applyNumberFormat="1" applyFill="1" applyBorder="1" applyAlignment="1">
      <alignment horizontal="center" vertical="center"/>
    </xf>
    <xf numFmtId="2" fontId="0" fillId="2" borderId="8" xfId="0" applyNumberFormat="1" applyFill="1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2" fontId="0" fillId="2" borderId="26" xfId="0" applyNumberFormat="1" applyFill="1" applyBorder="1" applyAlignment="1">
      <alignment horizontal="center" vertical="center"/>
    </xf>
    <xf numFmtId="2" fontId="8" fillId="2" borderId="8" xfId="0" applyNumberFormat="1" applyFont="1" applyFill="1" applyBorder="1" applyAlignment="1">
      <alignment horizontal="center" vertical="center"/>
    </xf>
    <xf numFmtId="2" fontId="0" fillId="2" borderId="12" xfId="0" applyNumberFormat="1" applyFill="1" applyBorder="1" applyAlignment="1">
      <alignment horizontal="center" vertical="center"/>
    </xf>
  </cellXfs>
  <cellStyles count="1">
    <cellStyle name="Normal" xfId="0" builtinId="0"/>
  </cellStyles>
  <dxfs count="23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9" defaultPivotStyle="PivotStyleMedium4"/>
  <colors>
    <mruColors>
      <color rgb="FFEAEAEA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94E78-B2C4-47A6-A09B-AD38E3983C70}">
  <dimension ref="A1:AX50"/>
  <sheetViews>
    <sheetView zoomScale="70" zoomScaleNormal="70" workbookViewId="0">
      <pane ySplit="2" topLeftCell="A3" activePane="bottomLeft" state="frozen"/>
      <selection pane="bottomLeft" activeCell="D21" sqref="D21"/>
    </sheetView>
  </sheetViews>
  <sheetFormatPr defaultRowHeight="15.75" x14ac:dyDescent="0.5"/>
  <cols>
    <col min="1" max="1" width="14.125" customWidth="1"/>
    <col min="3" max="3" width="5" customWidth="1"/>
    <col min="4" max="8" width="9" style="1"/>
    <col min="9" max="9" width="5.625" customWidth="1"/>
  </cols>
  <sheetData>
    <row r="1" spans="1:23" ht="16.149999999999999" thickBot="1" x14ac:dyDescent="0.55000000000000004">
      <c r="A1" s="31" t="s">
        <v>14</v>
      </c>
      <c r="B1" s="27" t="s">
        <v>0</v>
      </c>
      <c r="C1" s="7" t="s">
        <v>2</v>
      </c>
      <c r="D1" s="34" t="s">
        <v>3</v>
      </c>
      <c r="E1" s="27" t="s">
        <v>11</v>
      </c>
      <c r="F1" s="32" t="s">
        <v>5</v>
      </c>
      <c r="G1" s="27" t="s">
        <v>7</v>
      </c>
      <c r="H1" s="33" t="s">
        <v>6</v>
      </c>
      <c r="J1" s="3"/>
      <c r="K1" s="5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</row>
    <row r="2" spans="1:23" ht="16.149999999999999" thickBot="1" x14ac:dyDescent="0.55000000000000004">
      <c r="A2" s="26" t="s">
        <v>1</v>
      </c>
      <c r="B2" s="27"/>
      <c r="C2" s="7"/>
      <c r="D2" s="35">
        <v>23.68</v>
      </c>
      <c r="E2" s="29" t="s">
        <v>19</v>
      </c>
      <c r="F2" s="28">
        <v>169.5</v>
      </c>
      <c r="G2" s="29">
        <v>0.62</v>
      </c>
      <c r="H2" s="30">
        <v>0.62</v>
      </c>
      <c r="J2" s="8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8"/>
    </row>
    <row r="3" spans="1:23" s="1" customFormat="1" x14ac:dyDescent="0.5">
      <c r="A3" s="17" t="s">
        <v>4</v>
      </c>
      <c r="B3" s="18" t="s">
        <v>8</v>
      </c>
      <c r="C3" s="39">
        <v>4</v>
      </c>
      <c r="D3" s="36">
        <v>58.6</v>
      </c>
      <c r="E3" s="20">
        <v>8.6300000000000008</v>
      </c>
      <c r="F3" s="19">
        <v>0.83</v>
      </c>
      <c r="G3" s="20">
        <v>0.93</v>
      </c>
      <c r="H3" s="42">
        <v>0.93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3" s="1" customFormat="1" x14ac:dyDescent="0.5">
      <c r="A4" s="21" t="s">
        <v>4</v>
      </c>
      <c r="B4" s="13" t="s">
        <v>8</v>
      </c>
      <c r="C4" s="40">
        <v>8</v>
      </c>
      <c r="D4" s="37">
        <v>58.81</v>
      </c>
      <c r="E4" s="12">
        <v>8.64</v>
      </c>
      <c r="F4" s="15">
        <v>0.44</v>
      </c>
      <c r="G4" s="12">
        <v>0.94</v>
      </c>
      <c r="H4" s="43">
        <v>0.94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3" s="1" customFormat="1" x14ac:dyDescent="0.5">
      <c r="A5" s="21" t="s">
        <v>4</v>
      </c>
      <c r="B5" s="13" t="s">
        <v>8</v>
      </c>
      <c r="C5" s="40">
        <v>16</v>
      </c>
      <c r="D5" s="37">
        <v>59.07</v>
      </c>
      <c r="E5" s="12">
        <v>8.65</v>
      </c>
      <c r="F5" s="15">
        <v>0.28999999999999998</v>
      </c>
      <c r="G5" s="12">
        <v>0.94</v>
      </c>
      <c r="H5" s="43">
        <v>0.94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3" s="1" customFormat="1" x14ac:dyDescent="0.5">
      <c r="A6" s="21" t="s">
        <v>4</v>
      </c>
      <c r="B6" s="13" t="s">
        <v>8</v>
      </c>
      <c r="C6" s="40">
        <v>32</v>
      </c>
      <c r="D6" s="37">
        <v>60.92</v>
      </c>
      <c r="E6" s="12">
        <v>8.68</v>
      </c>
      <c r="F6" s="15">
        <v>0.28999999999999998</v>
      </c>
      <c r="G6" s="12">
        <v>0.95</v>
      </c>
      <c r="H6" s="43">
        <v>0.95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3" s="1" customFormat="1" x14ac:dyDescent="0.5">
      <c r="A7" s="21" t="s">
        <v>4</v>
      </c>
      <c r="B7" s="14" t="s">
        <v>9</v>
      </c>
      <c r="C7" s="40">
        <v>4</v>
      </c>
      <c r="D7" s="37">
        <v>63.06</v>
      </c>
      <c r="E7" s="12">
        <v>8.81</v>
      </c>
      <c r="F7" s="15">
        <v>1.19</v>
      </c>
      <c r="G7" s="12">
        <v>0.93</v>
      </c>
      <c r="H7" s="43">
        <v>0.93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3" s="1" customFormat="1" x14ac:dyDescent="0.5">
      <c r="A8" s="21" t="s">
        <v>4</v>
      </c>
      <c r="B8" s="14" t="s">
        <v>9</v>
      </c>
      <c r="C8" s="40">
        <v>8</v>
      </c>
      <c r="D8" s="37">
        <v>63.11</v>
      </c>
      <c r="E8" s="12">
        <v>8.82</v>
      </c>
      <c r="F8" s="15">
        <v>0.65</v>
      </c>
      <c r="G8" s="12">
        <v>0.94</v>
      </c>
      <c r="H8" s="43">
        <v>0.94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3" s="1" customFormat="1" x14ac:dyDescent="0.5">
      <c r="A9" s="21" t="s">
        <v>4</v>
      </c>
      <c r="B9" s="14" t="s">
        <v>9</v>
      </c>
      <c r="C9" s="40">
        <v>16</v>
      </c>
      <c r="D9" s="37">
        <v>63.21</v>
      </c>
      <c r="E9" s="12">
        <v>8.85</v>
      </c>
      <c r="F9" s="15">
        <v>0.82</v>
      </c>
      <c r="G9" s="12">
        <v>0.94</v>
      </c>
      <c r="H9" s="43">
        <v>0.94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3" s="1" customFormat="1" x14ac:dyDescent="0.5">
      <c r="A10" s="21" t="s">
        <v>4</v>
      </c>
      <c r="B10" s="14" t="s">
        <v>9</v>
      </c>
      <c r="C10" s="40">
        <v>32</v>
      </c>
      <c r="D10" s="37">
        <v>65.58</v>
      </c>
      <c r="E10" s="12">
        <v>8.8800000000000008</v>
      </c>
      <c r="F10" s="15">
        <v>0.68</v>
      </c>
      <c r="G10" s="12">
        <v>0.94</v>
      </c>
      <c r="H10" s="43">
        <v>0.94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3" s="1" customFormat="1" x14ac:dyDescent="0.5">
      <c r="A11" s="21" t="s">
        <v>4</v>
      </c>
      <c r="B11" s="14" t="s">
        <v>10</v>
      </c>
      <c r="C11" s="40">
        <v>4</v>
      </c>
      <c r="D11" s="37">
        <v>69.09</v>
      </c>
      <c r="E11" s="12">
        <v>9.02</v>
      </c>
      <c r="F11" s="15">
        <v>0.28000000000000003</v>
      </c>
      <c r="G11" s="12">
        <v>0.95</v>
      </c>
      <c r="H11" s="43">
        <v>0.95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3" s="1" customFormat="1" x14ac:dyDescent="0.5">
      <c r="A12" s="21" t="s">
        <v>4</v>
      </c>
      <c r="B12" s="14" t="s">
        <v>10</v>
      </c>
      <c r="C12" s="40">
        <v>8</v>
      </c>
      <c r="D12" s="37">
        <v>69.06</v>
      </c>
      <c r="E12" s="12">
        <v>9.0299999999999994</v>
      </c>
      <c r="F12" s="15">
        <v>0.27</v>
      </c>
      <c r="G12" s="12">
        <v>0.95</v>
      </c>
      <c r="H12" s="43">
        <v>0.95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3" s="1" customFormat="1" x14ac:dyDescent="0.5">
      <c r="A13" s="21" t="s">
        <v>4</v>
      </c>
      <c r="B13" s="14" t="s">
        <v>10</v>
      </c>
      <c r="C13" s="40">
        <v>16</v>
      </c>
      <c r="D13" s="37">
        <v>69.09</v>
      </c>
      <c r="E13" s="12">
        <v>9.06</v>
      </c>
      <c r="F13" s="15">
        <v>0.27</v>
      </c>
      <c r="G13" s="12">
        <v>0.95</v>
      </c>
      <c r="H13" s="43">
        <v>0.95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3" s="1" customFormat="1" ht="16.149999999999999" thickBot="1" x14ac:dyDescent="0.55000000000000004">
      <c r="A14" s="22" t="s">
        <v>4</v>
      </c>
      <c r="B14" s="23" t="s">
        <v>10</v>
      </c>
      <c r="C14" s="41">
        <v>32</v>
      </c>
      <c r="D14" s="81">
        <v>72.27</v>
      </c>
      <c r="E14" s="82">
        <v>9.1300000000000008</v>
      </c>
      <c r="F14" s="83">
        <v>0.26</v>
      </c>
      <c r="G14" s="82">
        <v>0.95</v>
      </c>
      <c r="H14" s="84">
        <v>0.95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3" s="1" customFormat="1" ht="16.149999999999999" thickBot="1" x14ac:dyDescent="0.55000000000000004">
      <c r="A15" s="90" t="s">
        <v>20</v>
      </c>
      <c r="B15" s="18" t="s">
        <v>8</v>
      </c>
      <c r="C15" s="78">
        <v>4</v>
      </c>
      <c r="D15" s="70">
        <f>4126/60</f>
        <v>68.766666666666666</v>
      </c>
      <c r="E15" s="59">
        <v>8.2100000000000009</v>
      </c>
      <c r="F15" s="60" t="s">
        <v>22</v>
      </c>
      <c r="G15" s="59">
        <v>0.1</v>
      </c>
      <c r="H15" s="61">
        <v>0.25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3" s="1" customFormat="1" ht="16.149999999999999" thickBot="1" x14ac:dyDescent="0.55000000000000004">
      <c r="A16" s="90" t="s">
        <v>20</v>
      </c>
      <c r="B16" s="13" t="s">
        <v>8</v>
      </c>
      <c r="C16" s="79">
        <v>8</v>
      </c>
      <c r="D16" s="71">
        <f>4530/60</f>
        <v>75.5</v>
      </c>
      <c r="E16" s="63">
        <v>8.2200000000000006</v>
      </c>
      <c r="F16" s="64">
        <v>0.7</v>
      </c>
      <c r="G16" s="63">
        <v>0.94</v>
      </c>
      <c r="H16" s="65">
        <v>0.94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50" s="1" customFormat="1" ht="16.149999999999999" thickBot="1" x14ac:dyDescent="0.55000000000000004">
      <c r="A17" s="90" t="s">
        <v>20</v>
      </c>
      <c r="B17" s="13" t="s">
        <v>8</v>
      </c>
      <c r="C17" s="79">
        <v>16</v>
      </c>
      <c r="D17" s="71"/>
      <c r="E17" s="63"/>
      <c r="F17" s="64"/>
      <c r="G17" s="63"/>
      <c r="H17" s="6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50" s="1" customFormat="1" ht="16.149999999999999" thickBot="1" x14ac:dyDescent="0.55000000000000004">
      <c r="A18" s="90" t="s">
        <v>20</v>
      </c>
      <c r="B18" s="13" t="s">
        <v>8</v>
      </c>
      <c r="C18" s="79">
        <v>32</v>
      </c>
      <c r="D18" s="71"/>
      <c r="E18" s="63"/>
      <c r="F18" s="64"/>
      <c r="G18" s="63"/>
      <c r="H18" s="6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50" s="1" customFormat="1" ht="16.149999999999999" thickBot="1" x14ac:dyDescent="0.55000000000000004">
      <c r="A19" s="90" t="s">
        <v>20</v>
      </c>
      <c r="B19" s="14" t="s">
        <v>9</v>
      </c>
      <c r="C19" s="79">
        <v>4</v>
      </c>
      <c r="D19" s="71">
        <f>4706/60</f>
        <v>78.433333333333337</v>
      </c>
      <c r="E19" s="63">
        <v>8.2100000000000009</v>
      </c>
      <c r="F19" s="64" t="s">
        <v>22</v>
      </c>
      <c r="G19" s="63">
        <v>0.1</v>
      </c>
      <c r="H19" s="65">
        <v>0.25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50" s="1" customFormat="1" ht="16.149999999999999" thickBot="1" x14ac:dyDescent="0.55000000000000004">
      <c r="A20" s="90" t="s">
        <v>20</v>
      </c>
      <c r="B20" s="14" t="s">
        <v>9</v>
      </c>
      <c r="C20" s="79">
        <v>8</v>
      </c>
      <c r="D20" s="71">
        <f>5203/60</f>
        <v>86.716666666666669</v>
      </c>
      <c r="E20" s="63">
        <v>8.2100000000000009</v>
      </c>
      <c r="F20" s="64" t="s">
        <v>22</v>
      </c>
      <c r="G20" s="63">
        <v>0.1</v>
      </c>
      <c r="H20" s="65">
        <v>0.25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50" s="1" customFormat="1" ht="16.149999999999999" thickBot="1" x14ac:dyDescent="0.55000000000000004">
      <c r="A21" s="90" t="s">
        <v>20</v>
      </c>
      <c r="B21" s="14" t="s">
        <v>9</v>
      </c>
      <c r="C21" s="79">
        <v>16</v>
      </c>
      <c r="D21" s="71"/>
      <c r="E21" s="63"/>
      <c r="F21" s="64"/>
      <c r="G21" s="63"/>
      <c r="H21" s="6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50" s="1" customFormat="1" ht="16.149999999999999" thickBot="1" x14ac:dyDescent="0.55000000000000004">
      <c r="A22" s="90" t="s">
        <v>20</v>
      </c>
      <c r="B22" s="14" t="s">
        <v>9</v>
      </c>
      <c r="C22" s="79">
        <v>32</v>
      </c>
      <c r="D22" s="71"/>
      <c r="E22" s="63"/>
      <c r="F22" s="64"/>
      <c r="G22" s="63"/>
      <c r="H22" s="6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50" s="1" customFormat="1" ht="16.149999999999999" thickBot="1" x14ac:dyDescent="0.55000000000000004">
      <c r="A23" s="90" t="s">
        <v>20</v>
      </c>
      <c r="B23" s="14" t="s">
        <v>10</v>
      </c>
      <c r="C23" s="79">
        <v>4</v>
      </c>
      <c r="D23" s="71">
        <f>5440/60</f>
        <v>90.666666666666671</v>
      </c>
      <c r="E23" s="63">
        <v>8.23</v>
      </c>
      <c r="F23" s="64">
        <v>0.47</v>
      </c>
      <c r="G23" s="63">
        <v>0.94</v>
      </c>
      <c r="H23" s="65">
        <v>0.94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50" s="1" customFormat="1" ht="16.149999999999999" thickBot="1" x14ac:dyDescent="0.55000000000000004">
      <c r="A24" s="90" t="s">
        <v>20</v>
      </c>
      <c r="B24" s="14" t="s">
        <v>10</v>
      </c>
      <c r="C24" s="79">
        <v>8</v>
      </c>
      <c r="D24" s="71"/>
      <c r="E24" s="63"/>
      <c r="F24" s="64"/>
      <c r="G24" s="63"/>
      <c r="H24" s="6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50" s="1" customFormat="1" ht="16.149999999999999" thickBot="1" x14ac:dyDescent="0.55000000000000004">
      <c r="A25" s="90" t="s">
        <v>20</v>
      </c>
      <c r="B25" s="14" t="s">
        <v>10</v>
      </c>
      <c r="C25" s="79">
        <v>16</v>
      </c>
      <c r="D25" s="71"/>
      <c r="E25" s="63"/>
      <c r="F25" s="64"/>
      <c r="G25" s="63"/>
      <c r="H25" s="6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50" s="1" customFormat="1" ht="16.149999999999999" thickBot="1" x14ac:dyDescent="0.55000000000000004">
      <c r="A26" s="90" t="s">
        <v>20</v>
      </c>
      <c r="B26" s="23" t="s">
        <v>10</v>
      </c>
      <c r="C26" s="80">
        <v>32</v>
      </c>
      <c r="D26" s="104"/>
      <c r="E26" s="67"/>
      <c r="F26" s="68"/>
      <c r="G26" s="67"/>
      <c r="H26" s="69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50" x14ac:dyDescent="0.5">
      <c r="A27" s="17" t="s">
        <v>12</v>
      </c>
      <c r="B27" s="18" t="s">
        <v>8</v>
      </c>
      <c r="C27" s="39">
        <v>4</v>
      </c>
      <c r="D27" s="103">
        <v>98.7</v>
      </c>
      <c r="E27" s="85">
        <v>4.97</v>
      </c>
      <c r="F27" s="86">
        <v>0.3</v>
      </c>
      <c r="G27" s="85">
        <v>0.94</v>
      </c>
      <c r="H27" s="87">
        <v>0.94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Y27" s="8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</row>
    <row r="28" spans="1:50" x14ac:dyDescent="0.5">
      <c r="A28" s="21" t="s">
        <v>12</v>
      </c>
      <c r="B28" s="13" t="s">
        <v>8</v>
      </c>
      <c r="C28" s="40">
        <v>8</v>
      </c>
      <c r="D28" s="37">
        <v>98.68</v>
      </c>
      <c r="E28" s="12">
        <v>5.17</v>
      </c>
      <c r="F28" s="15">
        <v>0.3</v>
      </c>
      <c r="G28" s="12">
        <v>0.94</v>
      </c>
      <c r="H28" s="43">
        <v>0.94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Y28" s="8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"/>
      <c r="AU28" s="1"/>
      <c r="AV28" s="1"/>
      <c r="AW28" s="1"/>
      <c r="AX28" s="1"/>
    </row>
    <row r="29" spans="1:50" x14ac:dyDescent="0.5">
      <c r="A29" s="21" t="s">
        <v>12</v>
      </c>
      <c r="B29" s="13" t="s">
        <v>8</v>
      </c>
      <c r="C29" s="40">
        <v>16</v>
      </c>
      <c r="D29" s="37">
        <v>98.7</v>
      </c>
      <c r="E29" s="12">
        <v>5.24</v>
      </c>
      <c r="F29" s="15">
        <v>0.39</v>
      </c>
      <c r="G29" s="12">
        <v>0.94</v>
      </c>
      <c r="H29" s="43">
        <v>0.94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Y29" s="8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"/>
      <c r="AU29" s="1"/>
      <c r="AV29" s="1"/>
      <c r="AW29" s="1"/>
      <c r="AX29" s="1"/>
    </row>
    <row r="30" spans="1:50" x14ac:dyDescent="0.5">
      <c r="A30" s="21" t="s">
        <v>12</v>
      </c>
      <c r="B30" s="13" t="s">
        <v>8</v>
      </c>
      <c r="C30" s="40">
        <v>32</v>
      </c>
      <c r="D30" s="37">
        <v>98.68</v>
      </c>
      <c r="E30" s="12">
        <v>5.2</v>
      </c>
      <c r="F30" s="15">
        <v>0.37</v>
      </c>
      <c r="G30" s="12">
        <v>0.95</v>
      </c>
      <c r="H30" s="43">
        <v>0.95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Y30" s="8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"/>
      <c r="AU30" s="1"/>
      <c r="AV30" s="1"/>
      <c r="AW30" s="1"/>
      <c r="AX30" s="1"/>
    </row>
    <row r="31" spans="1:50" x14ac:dyDescent="0.5">
      <c r="A31" s="21" t="s">
        <v>12</v>
      </c>
      <c r="B31" s="14" t="s">
        <v>9</v>
      </c>
      <c r="C31" s="40">
        <v>4</v>
      </c>
      <c r="D31" s="37">
        <v>101.78</v>
      </c>
      <c r="E31" s="12">
        <v>8.06</v>
      </c>
      <c r="F31" s="15">
        <v>0.28999999999999998</v>
      </c>
      <c r="G31" s="12">
        <v>0.94</v>
      </c>
      <c r="H31" s="43">
        <v>0.94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Y31" s="2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5">
      <c r="A32" s="21" t="s">
        <v>12</v>
      </c>
      <c r="B32" s="14" t="s">
        <v>9</v>
      </c>
      <c r="C32" s="40">
        <v>8</v>
      </c>
      <c r="D32" s="37">
        <v>101.62</v>
      </c>
      <c r="E32" s="12">
        <v>3.91</v>
      </c>
      <c r="F32" s="15">
        <v>0.28999999999999998</v>
      </c>
      <c r="G32" s="12">
        <v>0.94</v>
      </c>
      <c r="H32" s="43">
        <v>0.94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Y32" s="3"/>
      <c r="Z32" s="5"/>
      <c r="AA32" s="6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5">
      <c r="A33" s="21" t="s">
        <v>12</v>
      </c>
      <c r="B33" s="14" t="s">
        <v>9</v>
      </c>
      <c r="C33" s="40">
        <v>16</v>
      </c>
      <c r="D33" s="37">
        <v>101.67</v>
      </c>
      <c r="E33" s="12">
        <v>4.1399999999999997</v>
      </c>
      <c r="F33" s="15">
        <v>0.27</v>
      </c>
      <c r="G33" s="12">
        <v>0.95</v>
      </c>
      <c r="H33" s="43">
        <v>0.95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Y33" s="4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5">
      <c r="A34" s="21" t="s">
        <v>12</v>
      </c>
      <c r="B34" s="14" t="s">
        <v>9</v>
      </c>
      <c r="C34" s="40">
        <v>32</v>
      </c>
      <c r="D34" s="37">
        <v>101.58</v>
      </c>
      <c r="E34" s="12">
        <v>4.17</v>
      </c>
      <c r="F34" s="15">
        <v>0.26</v>
      </c>
      <c r="G34" s="12">
        <v>0.95</v>
      </c>
      <c r="H34" s="43">
        <v>0.95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Y34" s="2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</row>
    <row r="35" spans="1:50" x14ac:dyDescent="0.5">
      <c r="A35" s="21" t="s">
        <v>12</v>
      </c>
      <c r="B35" s="14" t="s">
        <v>10</v>
      </c>
      <c r="C35" s="40">
        <v>4</v>
      </c>
      <c r="D35" s="37">
        <v>100.53</v>
      </c>
      <c r="E35" s="12">
        <v>5.16</v>
      </c>
      <c r="F35" s="15">
        <v>0.28999999999999998</v>
      </c>
      <c r="G35" s="12">
        <v>0.95</v>
      </c>
      <c r="H35" s="43">
        <v>0.95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Y35" s="8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</row>
    <row r="36" spans="1:50" x14ac:dyDescent="0.5">
      <c r="A36" s="21" t="s">
        <v>12</v>
      </c>
      <c r="B36" s="14" t="s">
        <v>10</v>
      </c>
      <c r="C36" s="40">
        <v>8</v>
      </c>
      <c r="D36" s="37">
        <v>105.05</v>
      </c>
      <c r="E36" s="12">
        <v>5.17</v>
      </c>
      <c r="F36" s="15">
        <v>0.27</v>
      </c>
      <c r="G36" s="12">
        <v>0.95</v>
      </c>
      <c r="H36" s="43">
        <v>0.95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Y36" s="8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"/>
      <c r="AU36" s="1"/>
      <c r="AV36" s="1"/>
      <c r="AW36" s="1"/>
      <c r="AX36" s="1"/>
    </row>
    <row r="37" spans="1:50" x14ac:dyDescent="0.5">
      <c r="A37" s="21" t="s">
        <v>12</v>
      </c>
      <c r="B37" s="14" t="s">
        <v>10</v>
      </c>
      <c r="C37" s="40">
        <v>16</v>
      </c>
      <c r="D37" s="37">
        <v>104.77</v>
      </c>
      <c r="E37" s="12">
        <v>5.25</v>
      </c>
      <c r="F37" s="15">
        <v>0.26</v>
      </c>
      <c r="G37" s="12">
        <v>0.95</v>
      </c>
      <c r="H37" s="43">
        <v>0.95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Y37" s="8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"/>
      <c r="AU37" s="1"/>
      <c r="AV37" s="1"/>
      <c r="AW37" s="1"/>
      <c r="AX37" s="1"/>
    </row>
    <row r="38" spans="1:50" ht="16.149999999999999" thickBot="1" x14ac:dyDescent="0.55000000000000004">
      <c r="A38" s="22" t="s">
        <v>12</v>
      </c>
      <c r="B38" s="23" t="s">
        <v>10</v>
      </c>
      <c r="C38" s="41">
        <v>32</v>
      </c>
      <c r="D38" s="38">
        <v>104.57</v>
      </c>
      <c r="E38" s="25">
        <v>4.1399999999999997</v>
      </c>
      <c r="F38" s="24">
        <v>0.25</v>
      </c>
      <c r="G38" s="25">
        <v>0.95</v>
      </c>
      <c r="H38" s="44">
        <v>0.95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Y38" s="8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"/>
      <c r="AU38" s="1"/>
      <c r="AV38" s="1"/>
      <c r="AW38" s="1"/>
      <c r="AX38" s="1"/>
    </row>
    <row r="39" spans="1:50" x14ac:dyDescent="0.5">
      <c r="A39" s="17" t="s">
        <v>13</v>
      </c>
      <c r="B39" s="18" t="s">
        <v>8</v>
      </c>
      <c r="C39" s="39">
        <v>4</v>
      </c>
      <c r="D39" s="48">
        <v>100.58</v>
      </c>
      <c r="E39" s="20">
        <v>5.28</v>
      </c>
      <c r="F39" s="19">
        <v>0.3</v>
      </c>
      <c r="G39" s="20">
        <v>0.94</v>
      </c>
      <c r="H39" s="42">
        <v>0.94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50" x14ac:dyDescent="0.5">
      <c r="A40" s="21" t="s">
        <v>13</v>
      </c>
      <c r="B40" s="13" t="s">
        <v>8</v>
      </c>
      <c r="C40" s="40">
        <v>8</v>
      </c>
      <c r="D40" s="49">
        <v>100.63</v>
      </c>
      <c r="E40" s="12">
        <v>5.21</v>
      </c>
      <c r="F40" s="15">
        <v>0.3</v>
      </c>
      <c r="G40" s="12">
        <v>0.94</v>
      </c>
      <c r="H40" s="43">
        <v>0.94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50" x14ac:dyDescent="0.5">
      <c r="A41" s="21" t="s">
        <v>13</v>
      </c>
      <c r="B41" s="13" t="s">
        <v>8</v>
      </c>
      <c r="C41" s="40">
        <v>16</v>
      </c>
      <c r="D41" s="49">
        <v>100.37</v>
      </c>
      <c r="E41" s="12">
        <v>5.25</v>
      </c>
      <c r="F41" s="15">
        <v>0.38</v>
      </c>
      <c r="G41" s="12">
        <v>0.95</v>
      </c>
      <c r="H41" s="43">
        <v>0.95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50" x14ac:dyDescent="0.5">
      <c r="A42" s="21" t="s">
        <v>13</v>
      </c>
      <c r="B42" s="13" t="s">
        <v>8</v>
      </c>
      <c r="C42" s="40">
        <v>32</v>
      </c>
      <c r="D42" s="49">
        <v>100.35</v>
      </c>
      <c r="E42" s="12">
        <v>5.24</v>
      </c>
      <c r="F42" s="15">
        <v>0.27</v>
      </c>
      <c r="G42" s="12">
        <v>0.95</v>
      </c>
      <c r="H42" s="43">
        <v>0.95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50" x14ac:dyDescent="0.5">
      <c r="A43" s="21" t="s">
        <v>13</v>
      </c>
      <c r="B43" s="14" t="s">
        <v>9</v>
      </c>
      <c r="C43" s="40">
        <v>4</v>
      </c>
      <c r="D43" s="49">
        <v>103.63</v>
      </c>
      <c r="E43" s="12">
        <v>7.41</v>
      </c>
      <c r="F43" s="15">
        <v>0.28999999999999998</v>
      </c>
      <c r="G43" s="12">
        <v>0.94</v>
      </c>
      <c r="H43" s="43">
        <v>0.94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50" x14ac:dyDescent="0.5">
      <c r="A44" s="21" t="s">
        <v>13</v>
      </c>
      <c r="B44" s="14" t="s">
        <v>9</v>
      </c>
      <c r="C44" s="40">
        <v>8</v>
      </c>
      <c r="D44" s="49">
        <v>103.57</v>
      </c>
      <c r="E44" s="12">
        <v>4.16</v>
      </c>
      <c r="F44" s="15">
        <v>0.28999999999999998</v>
      </c>
      <c r="G44" s="12">
        <v>0.94</v>
      </c>
      <c r="H44" s="43">
        <v>0.94</v>
      </c>
    </row>
    <row r="45" spans="1:50" x14ac:dyDescent="0.5">
      <c r="A45" s="21" t="s">
        <v>13</v>
      </c>
      <c r="B45" s="14" t="s">
        <v>9</v>
      </c>
      <c r="C45" s="40">
        <v>16</v>
      </c>
      <c r="D45" s="49">
        <v>100.43</v>
      </c>
      <c r="E45" s="12">
        <v>4.16</v>
      </c>
      <c r="F45" s="15">
        <v>0.27</v>
      </c>
      <c r="G45" s="12">
        <v>0.95</v>
      </c>
      <c r="H45" s="43">
        <v>0.95</v>
      </c>
    </row>
    <row r="46" spans="1:50" x14ac:dyDescent="0.5">
      <c r="A46" s="21" t="s">
        <v>13</v>
      </c>
      <c r="B46" s="14" t="s">
        <v>9</v>
      </c>
      <c r="C46" s="40">
        <v>32</v>
      </c>
      <c r="D46" s="49">
        <v>103.3</v>
      </c>
      <c r="E46" s="12">
        <v>4.18</v>
      </c>
      <c r="F46" s="15">
        <v>0.27</v>
      </c>
      <c r="G46" s="12">
        <v>0.95</v>
      </c>
      <c r="H46" s="43">
        <v>0.95</v>
      </c>
    </row>
    <row r="47" spans="1:50" x14ac:dyDescent="0.5">
      <c r="A47" s="21" t="s">
        <v>13</v>
      </c>
      <c r="B47" s="14" t="s">
        <v>10</v>
      </c>
      <c r="C47" s="40">
        <v>4</v>
      </c>
      <c r="D47" s="49">
        <v>107.17</v>
      </c>
      <c r="E47" s="12">
        <v>5.22</v>
      </c>
      <c r="F47" s="15">
        <v>0.28000000000000003</v>
      </c>
      <c r="G47" s="12">
        <v>0.94</v>
      </c>
      <c r="H47" s="43">
        <v>0.94</v>
      </c>
    </row>
    <row r="48" spans="1:50" x14ac:dyDescent="0.5">
      <c r="A48" s="21" t="s">
        <v>13</v>
      </c>
      <c r="B48" s="14" t="s">
        <v>10</v>
      </c>
      <c r="C48" s="40">
        <v>8</v>
      </c>
      <c r="D48" s="49">
        <v>106.75</v>
      </c>
      <c r="E48" s="12">
        <v>5.27</v>
      </c>
      <c r="F48" s="15">
        <v>0.27</v>
      </c>
      <c r="G48" s="12">
        <v>0.95</v>
      </c>
      <c r="H48" s="43">
        <v>0.95</v>
      </c>
    </row>
    <row r="49" spans="1:8" x14ac:dyDescent="0.5">
      <c r="A49" s="21" t="s">
        <v>13</v>
      </c>
      <c r="B49" s="14" t="s">
        <v>10</v>
      </c>
      <c r="C49" s="40">
        <v>16</v>
      </c>
      <c r="D49" s="49">
        <v>106.63</v>
      </c>
      <c r="E49" s="12">
        <v>5.27</v>
      </c>
      <c r="F49" s="15">
        <v>0.26</v>
      </c>
      <c r="G49" s="12">
        <v>0.95</v>
      </c>
      <c r="H49" s="43">
        <v>0.95</v>
      </c>
    </row>
    <row r="50" spans="1:8" ht="16.149999999999999" thickBot="1" x14ac:dyDescent="0.55000000000000004">
      <c r="A50" s="22" t="s">
        <v>13</v>
      </c>
      <c r="B50" s="23" t="s">
        <v>10</v>
      </c>
      <c r="C50" s="41">
        <v>32</v>
      </c>
      <c r="D50" s="50">
        <v>106.33</v>
      </c>
      <c r="E50" s="25">
        <v>4.2</v>
      </c>
      <c r="F50" s="45">
        <v>0.25</v>
      </c>
      <c r="G50" s="46">
        <v>0.95</v>
      </c>
      <c r="H50" s="47">
        <v>0.95</v>
      </c>
    </row>
  </sheetData>
  <phoneticPr fontId="6" type="noConversion"/>
  <conditionalFormatting sqref="D3:D14 D27:D50">
    <cfRule type="cellIs" dxfId="19" priority="9" operator="greaterThan">
      <formula>82.885</formula>
    </cfRule>
  </conditionalFormatting>
  <conditionalFormatting sqref="E3:E14 E27:E50">
    <cfRule type="cellIs" dxfId="18" priority="8" operator="greaterThan">
      <formula>6.52</formula>
    </cfRule>
  </conditionalFormatting>
  <conditionalFormatting sqref="F3:F14 F27:F50">
    <cfRule type="cellIs" dxfId="17" priority="7" operator="greaterThan">
      <formula>0.3</formula>
    </cfRule>
  </conditionalFormatting>
  <conditionalFormatting sqref="D15:D26">
    <cfRule type="cellIs" dxfId="16" priority="2" operator="greaterThan">
      <formula>4</formula>
    </cfRule>
  </conditionalFormatting>
  <conditionalFormatting sqref="E15:E26">
    <cfRule type="cellIs" dxfId="15" priority="3" operator="greaterThan">
      <formula>6.52</formula>
    </cfRule>
  </conditionalFormatting>
  <conditionalFormatting sqref="F15:F26">
    <cfRule type="cellIs" dxfId="14" priority="1" operator="greaterThan">
      <formula>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E18B1-27C0-41F7-BB41-E10E7EA43FE8}">
  <dimension ref="A1:AX38"/>
  <sheetViews>
    <sheetView zoomScale="70" zoomScaleNormal="70" workbookViewId="0">
      <pane ySplit="2" topLeftCell="A3" activePane="bottomLeft" state="frozen"/>
      <selection pane="bottomLeft" activeCell="E15" sqref="E15"/>
    </sheetView>
  </sheetViews>
  <sheetFormatPr defaultRowHeight="15.75" x14ac:dyDescent="0.5"/>
  <cols>
    <col min="1" max="1" width="14.125" customWidth="1"/>
    <col min="3" max="3" width="5" customWidth="1"/>
    <col min="4" max="8" width="9" style="1"/>
    <col min="9" max="9" width="5.625" customWidth="1"/>
  </cols>
  <sheetData>
    <row r="1" spans="1:50" ht="16.149999999999999" thickBot="1" x14ac:dyDescent="0.55000000000000004">
      <c r="A1" s="31" t="s">
        <v>16</v>
      </c>
      <c r="B1" s="27" t="s">
        <v>0</v>
      </c>
      <c r="C1" s="7" t="s">
        <v>2</v>
      </c>
      <c r="D1" s="34" t="s">
        <v>3</v>
      </c>
      <c r="E1" s="27" t="s">
        <v>11</v>
      </c>
      <c r="F1" s="32" t="s">
        <v>5</v>
      </c>
      <c r="G1" s="27" t="s">
        <v>7</v>
      </c>
      <c r="H1" s="33" t="s">
        <v>6</v>
      </c>
      <c r="J1" s="3"/>
      <c r="K1" s="5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</row>
    <row r="2" spans="1:50" ht="16.149999999999999" thickBot="1" x14ac:dyDescent="0.55000000000000004">
      <c r="A2" s="26" t="s">
        <v>1</v>
      </c>
      <c r="B2" s="27"/>
      <c r="C2" s="7"/>
      <c r="D2" s="76">
        <f>787/60</f>
        <v>13.116666666666667</v>
      </c>
      <c r="E2" s="29" t="s">
        <v>19</v>
      </c>
      <c r="F2" s="15">
        <v>175.875</v>
      </c>
      <c r="G2" s="29">
        <v>0.53</v>
      </c>
      <c r="H2" s="30">
        <v>0.53</v>
      </c>
      <c r="J2" s="8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8"/>
    </row>
    <row r="3" spans="1:50" s="1" customFormat="1" x14ac:dyDescent="0.5">
      <c r="A3" s="17" t="s">
        <v>4</v>
      </c>
      <c r="B3" s="18" t="s">
        <v>8</v>
      </c>
      <c r="C3" s="39">
        <v>4</v>
      </c>
      <c r="D3" s="36">
        <f>1856/60</f>
        <v>30.933333333333334</v>
      </c>
      <c r="E3" s="20">
        <v>8.5</v>
      </c>
      <c r="F3" s="19">
        <v>1.89</v>
      </c>
      <c r="G3" s="20">
        <v>0.92</v>
      </c>
      <c r="H3" s="42">
        <v>0.92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50" s="1" customFormat="1" x14ac:dyDescent="0.5">
      <c r="A4" s="21" t="s">
        <v>4</v>
      </c>
      <c r="B4" s="13" t="s">
        <v>8</v>
      </c>
      <c r="C4" s="40">
        <v>8</v>
      </c>
      <c r="D4" s="37">
        <f>1855/60</f>
        <v>30.916666666666668</v>
      </c>
      <c r="E4" s="12">
        <v>8.51</v>
      </c>
      <c r="F4" s="15">
        <v>1.48</v>
      </c>
      <c r="G4" s="12">
        <v>0.92</v>
      </c>
      <c r="H4" s="43">
        <v>0.92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50" s="1" customFormat="1" x14ac:dyDescent="0.5">
      <c r="A5" s="21" t="s">
        <v>4</v>
      </c>
      <c r="B5" s="13" t="s">
        <v>8</v>
      </c>
      <c r="C5" s="40">
        <v>16</v>
      </c>
      <c r="D5" s="37">
        <f>1862/60</f>
        <v>31.033333333333335</v>
      </c>
      <c r="E5" s="12">
        <v>8.52</v>
      </c>
      <c r="F5" s="15">
        <v>0.33</v>
      </c>
      <c r="G5" s="12">
        <v>0.94</v>
      </c>
      <c r="H5" s="43">
        <v>0.94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50" s="1" customFormat="1" x14ac:dyDescent="0.5">
      <c r="A6" s="21" t="s">
        <v>4</v>
      </c>
      <c r="B6" s="13" t="s">
        <v>8</v>
      </c>
      <c r="C6" s="40">
        <v>32</v>
      </c>
      <c r="D6" s="37">
        <f>1905/60</f>
        <v>31.75</v>
      </c>
      <c r="E6" s="12">
        <v>8.5500000000000007</v>
      </c>
      <c r="F6" s="15">
        <v>0.5</v>
      </c>
      <c r="G6" s="12">
        <v>0.94</v>
      </c>
      <c r="H6" s="43">
        <v>0.94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50" s="1" customFormat="1" x14ac:dyDescent="0.5">
      <c r="A7" s="21" t="s">
        <v>4</v>
      </c>
      <c r="B7" s="14" t="s">
        <v>9</v>
      </c>
      <c r="C7" s="40">
        <v>4</v>
      </c>
      <c r="D7" s="37">
        <f>1989/60</f>
        <v>33.15</v>
      </c>
      <c r="E7" s="12">
        <v>8.7200000000000006</v>
      </c>
      <c r="F7" s="15">
        <v>2.92</v>
      </c>
      <c r="G7" s="12">
        <v>0.92</v>
      </c>
      <c r="H7" s="43">
        <v>0.92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50" s="1" customFormat="1" x14ac:dyDescent="0.5">
      <c r="A8" s="21" t="s">
        <v>4</v>
      </c>
      <c r="B8" s="14" t="s">
        <v>9</v>
      </c>
      <c r="C8" s="40">
        <v>8</v>
      </c>
      <c r="D8" s="37">
        <f>1987/60</f>
        <v>33.116666666666667</v>
      </c>
      <c r="E8" s="12">
        <v>8.7200000000000006</v>
      </c>
      <c r="F8" s="15">
        <v>1.9</v>
      </c>
      <c r="G8" s="12">
        <v>0.93</v>
      </c>
      <c r="H8" s="43">
        <v>0.93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50" s="1" customFormat="1" x14ac:dyDescent="0.5">
      <c r="A9" s="21" t="s">
        <v>4</v>
      </c>
      <c r="B9" s="14" t="s">
        <v>9</v>
      </c>
      <c r="C9" s="40">
        <v>16</v>
      </c>
      <c r="D9" s="37">
        <f>1996/60</f>
        <v>33.266666666666666</v>
      </c>
      <c r="E9" s="12">
        <v>8.74</v>
      </c>
      <c r="F9" s="15">
        <v>1.17</v>
      </c>
      <c r="G9" s="12">
        <v>0.93</v>
      </c>
      <c r="H9" s="43">
        <v>0.93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50" s="1" customFormat="1" x14ac:dyDescent="0.5">
      <c r="A10" s="21" t="s">
        <v>4</v>
      </c>
      <c r="B10" s="14" t="s">
        <v>9</v>
      </c>
      <c r="C10" s="40">
        <v>32</v>
      </c>
      <c r="D10" s="37">
        <f>2049/60</f>
        <v>34.15</v>
      </c>
      <c r="E10" s="12">
        <v>8.7799999999999994</v>
      </c>
      <c r="F10" s="15">
        <v>1.29</v>
      </c>
      <c r="G10" s="12">
        <v>0.93</v>
      </c>
      <c r="H10" s="43">
        <v>0.93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50" s="1" customFormat="1" x14ac:dyDescent="0.5">
      <c r="A11" s="21" t="s">
        <v>4</v>
      </c>
      <c r="B11" s="14" t="s">
        <v>10</v>
      </c>
      <c r="C11" s="40">
        <v>4</v>
      </c>
      <c r="D11" s="37">
        <f>2174/60</f>
        <v>36.233333333333334</v>
      </c>
      <c r="E11" s="12">
        <v>8.93</v>
      </c>
      <c r="F11" s="15">
        <v>0.3</v>
      </c>
      <c r="G11" s="12">
        <v>0.94</v>
      </c>
      <c r="H11" s="43">
        <v>0.94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50" s="1" customFormat="1" x14ac:dyDescent="0.5">
      <c r="A12" s="21" t="s">
        <v>4</v>
      </c>
      <c r="B12" s="14" t="s">
        <v>10</v>
      </c>
      <c r="C12" s="40">
        <v>8</v>
      </c>
      <c r="D12" s="37">
        <f>2173/60</f>
        <v>36.216666666666669</v>
      </c>
      <c r="E12" s="12">
        <v>8.9499999999999993</v>
      </c>
      <c r="F12" s="15">
        <v>0.3</v>
      </c>
      <c r="G12" s="12">
        <v>0.94</v>
      </c>
      <c r="H12" s="43">
        <v>0.94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50" s="1" customFormat="1" x14ac:dyDescent="0.5">
      <c r="A13" s="21" t="s">
        <v>4</v>
      </c>
      <c r="B13" s="14" t="s">
        <v>10</v>
      </c>
      <c r="C13" s="40">
        <v>16</v>
      </c>
      <c r="D13" s="37">
        <f>2156/60</f>
        <v>35.93333333333333</v>
      </c>
      <c r="E13" s="12">
        <v>8.7799999999999994</v>
      </c>
      <c r="F13" s="15">
        <v>0.28999999999999998</v>
      </c>
      <c r="G13" s="12">
        <v>0.94</v>
      </c>
      <c r="H13" s="43">
        <v>0.94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50" s="1" customFormat="1" ht="16.149999999999999" thickBot="1" x14ac:dyDescent="0.55000000000000004">
      <c r="A14" s="22" t="s">
        <v>4</v>
      </c>
      <c r="B14" s="23" t="s">
        <v>10</v>
      </c>
      <c r="C14" s="41">
        <v>32</v>
      </c>
      <c r="D14" s="81">
        <f>2275/60</f>
        <v>37.916666666666664</v>
      </c>
      <c r="E14" s="82">
        <v>9.0299999999999994</v>
      </c>
      <c r="F14" s="83">
        <v>0.3</v>
      </c>
      <c r="G14" s="82">
        <v>0.94</v>
      </c>
      <c r="H14" s="84">
        <v>0.94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50" x14ac:dyDescent="0.5">
      <c r="A15" s="17" t="s">
        <v>12</v>
      </c>
      <c r="B15" s="18" t="s">
        <v>8</v>
      </c>
      <c r="C15" s="78">
        <v>4</v>
      </c>
      <c r="D15" s="48">
        <f>3124.55357265472/60</f>
        <v>52.075892877578667</v>
      </c>
      <c r="E15" s="20">
        <v>5.8125</v>
      </c>
      <c r="F15" s="19">
        <v>0.33369538187980602</v>
      </c>
      <c r="G15" s="89">
        <v>0.932894736842105</v>
      </c>
      <c r="H15" s="42">
        <v>0.93279652397289703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Y15" s="8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</row>
    <row r="16" spans="1:50" x14ac:dyDescent="0.5">
      <c r="A16" s="21" t="s">
        <v>12</v>
      </c>
      <c r="B16" s="13" t="s">
        <v>8</v>
      </c>
      <c r="C16" s="79">
        <v>8</v>
      </c>
      <c r="D16" s="49">
        <f>3118.26414632797/60</f>
        <v>51.971069105466171</v>
      </c>
      <c r="E16" s="12">
        <v>5.28515625</v>
      </c>
      <c r="F16" s="15">
        <v>0.32337653636932301</v>
      </c>
      <c r="G16" s="82">
        <v>0.93434210526315697</v>
      </c>
      <c r="H16" s="43">
        <v>0.93421051267826405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Y16" s="8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"/>
      <c r="AU16" s="1"/>
      <c r="AV16" s="1"/>
      <c r="AW16" s="1"/>
      <c r="AX16" s="1"/>
    </row>
    <row r="17" spans="1:50" x14ac:dyDescent="0.5">
      <c r="A17" s="21" t="s">
        <v>12</v>
      </c>
      <c r="B17" s="13" t="s">
        <v>8</v>
      </c>
      <c r="C17" s="79">
        <v>16</v>
      </c>
      <c r="D17" s="49">
        <f>3115.79775643348/60</f>
        <v>51.929962607224667</v>
      </c>
      <c r="E17" s="12">
        <v>5.228515625</v>
      </c>
      <c r="F17" s="15">
        <v>0.30791792273521401</v>
      </c>
      <c r="G17" s="82">
        <v>0.93921052631578905</v>
      </c>
      <c r="H17" s="43">
        <v>0.939137056440284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Y17" s="8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"/>
      <c r="AU17" s="1"/>
      <c r="AV17" s="1"/>
      <c r="AW17" s="1"/>
      <c r="AX17" s="1"/>
    </row>
    <row r="18" spans="1:50" x14ac:dyDescent="0.5">
      <c r="A18" s="21" t="s">
        <v>12</v>
      </c>
      <c r="B18" s="13" t="s">
        <v>8</v>
      </c>
      <c r="C18" s="79">
        <v>32</v>
      </c>
      <c r="D18" s="49">
        <f>3119.02027583122/60</f>
        <v>51.983671263853665</v>
      </c>
      <c r="E18" s="12">
        <v>5.279296875</v>
      </c>
      <c r="F18" s="15">
        <v>0.29212000966071999</v>
      </c>
      <c r="G18" s="82">
        <v>0.94052631578947299</v>
      </c>
      <c r="H18" s="43">
        <v>0.94048522309945504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Y18" s="8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"/>
      <c r="AU18" s="1"/>
      <c r="AV18" s="1"/>
      <c r="AW18" s="1"/>
      <c r="AX18" s="1"/>
    </row>
    <row r="19" spans="1:50" x14ac:dyDescent="0.5">
      <c r="A19" s="21" t="s">
        <v>12</v>
      </c>
      <c r="B19" s="14" t="s">
        <v>9</v>
      </c>
      <c r="C19" s="79">
        <v>4</v>
      </c>
      <c r="D19" s="49">
        <f>3218.83515405654/60</f>
        <v>53.647252567609002</v>
      </c>
      <c r="E19" s="12">
        <v>5.26953125</v>
      </c>
      <c r="F19" s="15">
        <v>0.329091787338256</v>
      </c>
      <c r="G19" s="82">
        <v>0.93421052631578905</v>
      </c>
      <c r="H19" s="43">
        <v>0.93410263207470201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Y19" s="2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5">
      <c r="A20" s="21" t="s">
        <v>12</v>
      </c>
      <c r="B20" s="14" t="s">
        <v>9</v>
      </c>
      <c r="C20" s="79">
        <v>8</v>
      </c>
      <c r="D20" s="49">
        <f>3210.34199547767/60</f>
        <v>53.505699924627834</v>
      </c>
      <c r="E20" s="12">
        <v>5.263671875</v>
      </c>
      <c r="F20" s="15">
        <v>0.30125886201858498</v>
      </c>
      <c r="G20" s="82">
        <v>0.93723684210526303</v>
      </c>
      <c r="H20" s="43">
        <v>0.93713642298945599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Y20" s="3"/>
      <c r="Z20" s="5"/>
      <c r="AA20" s="6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5">
      <c r="A21" s="21" t="s">
        <v>12</v>
      </c>
      <c r="B21" s="14" t="s">
        <v>9</v>
      </c>
      <c r="C21" s="79">
        <v>16</v>
      </c>
      <c r="D21" s="49">
        <f>3202.71737480163/60</f>
        <v>53.378622913360495</v>
      </c>
      <c r="E21" s="12">
        <v>5.259765625</v>
      </c>
      <c r="F21" s="15">
        <v>0.28675341606140098</v>
      </c>
      <c r="G21" s="82">
        <v>0.94131578947368399</v>
      </c>
      <c r="H21" s="43">
        <v>0.94125566291995599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Y21" s="4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5">
      <c r="A22" s="21" t="s">
        <v>12</v>
      </c>
      <c r="B22" s="14" t="s">
        <v>9</v>
      </c>
      <c r="C22" s="79">
        <v>32</v>
      </c>
      <c r="D22" s="49">
        <f>3199.11981201171/60</f>
        <v>53.3186635335285</v>
      </c>
      <c r="E22" s="12">
        <v>5.28125</v>
      </c>
      <c r="F22" s="15">
        <v>0.27851298451423601</v>
      </c>
      <c r="G22" s="82">
        <v>0.94381578947368405</v>
      </c>
      <c r="H22" s="43">
        <v>0.94375890886079195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Y22" s="2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</row>
    <row r="23" spans="1:50" x14ac:dyDescent="0.5">
      <c r="A23" s="21" t="s">
        <v>12</v>
      </c>
      <c r="B23" s="14" t="s">
        <v>10</v>
      </c>
      <c r="C23" s="79">
        <v>4</v>
      </c>
      <c r="D23" s="49">
        <f>3299.00228238105/60</f>
        <v>54.983371373017498</v>
      </c>
      <c r="E23" s="12">
        <v>5.2890625</v>
      </c>
      <c r="F23" s="15">
        <v>0.30350458621978699</v>
      </c>
      <c r="G23" s="82">
        <v>0.93881578947368405</v>
      </c>
      <c r="H23" s="43">
        <v>0.93873156864567797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Y23" s="8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</row>
    <row r="24" spans="1:50" x14ac:dyDescent="0.5">
      <c r="A24" s="21" t="s">
        <v>12</v>
      </c>
      <c r="B24" s="14" t="s">
        <v>10</v>
      </c>
      <c r="C24" s="79">
        <v>8</v>
      </c>
      <c r="D24" s="49">
        <f>3289.01874613761/60</f>
        <v>54.816979102293502</v>
      </c>
      <c r="E24" s="12">
        <v>5.283203125</v>
      </c>
      <c r="F24" s="15">
        <v>0.305492132902145</v>
      </c>
      <c r="G24" s="82">
        <v>0.93960526315789406</v>
      </c>
      <c r="H24" s="43">
        <v>0.93948926641783104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Y24" s="8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"/>
      <c r="AU24" s="1"/>
      <c r="AV24" s="1"/>
      <c r="AW24" s="1"/>
      <c r="AX24" s="1"/>
    </row>
    <row r="25" spans="1:50" x14ac:dyDescent="0.5">
      <c r="A25" s="21" t="s">
        <v>12</v>
      </c>
      <c r="B25" s="14" t="s">
        <v>10</v>
      </c>
      <c r="C25" s="79">
        <v>16</v>
      </c>
      <c r="D25" s="49">
        <f>3287.43599438667/60</f>
        <v>54.790599906444498</v>
      </c>
      <c r="E25" s="12">
        <v>5.28515625</v>
      </c>
      <c r="F25" s="15">
        <v>0.28701066970825101</v>
      </c>
      <c r="G25" s="82">
        <v>0.94263157894736804</v>
      </c>
      <c r="H25" s="43">
        <v>0.942548665059457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Y25" s="8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"/>
      <c r="AU25" s="1"/>
      <c r="AV25" s="1"/>
      <c r="AW25" s="1"/>
      <c r="AX25" s="1"/>
    </row>
    <row r="26" spans="1:50" ht="16.149999999999999" thickBot="1" x14ac:dyDescent="0.55000000000000004">
      <c r="A26" s="22" t="s">
        <v>12</v>
      </c>
      <c r="B26" s="23" t="s">
        <v>10</v>
      </c>
      <c r="C26" s="80">
        <v>32</v>
      </c>
      <c r="D26" s="88">
        <f>3282.18617987632/60</f>
        <v>54.703102997938664</v>
      </c>
      <c r="E26" s="25">
        <v>5.3359375</v>
      </c>
      <c r="F26" s="24">
        <v>0.27575093507766701</v>
      </c>
      <c r="G26" s="25">
        <v>0.94605263157894703</v>
      </c>
      <c r="H26" s="44">
        <v>0.94600432272025003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Y26" s="8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"/>
      <c r="AU26" s="1"/>
      <c r="AV26" s="1"/>
      <c r="AW26" s="1"/>
      <c r="AX26" s="1"/>
    </row>
    <row r="27" spans="1:50" x14ac:dyDescent="0.5">
      <c r="A27" s="17" t="s">
        <v>13</v>
      </c>
      <c r="B27" s="18" t="s">
        <v>8</v>
      </c>
      <c r="C27" s="39">
        <v>4</v>
      </c>
      <c r="D27" s="48">
        <f>3168.16577410697/60</f>
        <v>52.802762901782827</v>
      </c>
      <c r="E27" s="20">
        <v>3.787109375</v>
      </c>
      <c r="F27" s="19">
        <v>0.32511559128761203</v>
      </c>
      <c r="G27" s="89">
        <v>0.93488256503573897</v>
      </c>
      <c r="H27" s="42">
        <v>0.93500000000000005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50" x14ac:dyDescent="0.5">
      <c r="A28" s="21" t="s">
        <v>13</v>
      </c>
      <c r="B28" s="13" t="s">
        <v>8</v>
      </c>
      <c r="C28" s="40">
        <v>8</v>
      </c>
      <c r="D28" s="49">
        <f>3166.91288518905/60</f>
        <v>52.781881419817502</v>
      </c>
      <c r="E28" s="12">
        <v>4.1328125</v>
      </c>
      <c r="F28" s="15">
        <v>0.31703713536262501</v>
      </c>
      <c r="G28" s="82">
        <v>0.93395871593631596</v>
      </c>
      <c r="H28" s="43">
        <v>0.93407894736842101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50" x14ac:dyDescent="0.5">
      <c r="A29" s="21" t="s">
        <v>13</v>
      </c>
      <c r="B29" s="13" t="s">
        <v>8</v>
      </c>
      <c r="C29" s="40">
        <v>16</v>
      </c>
      <c r="D29" s="49">
        <f>3164.56896948814/60</f>
        <v>52.74281615813566</v>
      </c>
      <c r="E29" s="12">
        <v>4.166015625</v>
      </c>
      <c r="F29" s="15">
        <v>0.30995690822601302</v>
      </c>
      <c r="G29" s="82">
        <v>0.93594386532198803</v>
      </c>
      <c r="H29" s="43">
        <v>0.93605263157894703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50" x14ac:dyDescent="0.5">
      <c r="A30" s="21" t="s">
        <v>13</v>
      </c>
      <c r="B30" s="13" t="s">
        <v>8</v>
      </c>
      <c r="C30" s="40">
        <v>32</v>
      </c>
      <c r="D30" s="49">
        <f>3163.4332010746/60</f>
        <v>52.723886684576669</v>
      </c>
      <c r="E30" s="12">
        <v>4.185546875</v>
      </c>
      <c r="F30" s="15">
        <v>0.29628902673721302</v>
      </c>
      <c r="G30" s="82">
        <v>0.93861297070806105</v>
      </c>
      <c r="H30" s="43">
        <v>0.93868421052631501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50" x14ac:dyDescent="0.5">
      <c r="A31" s="21" t="s">
        <v>13</v>
      </c>
      <c r="B31" s="14" t="s">
        <v>9</v>
      </c>
      <c r="C31" s="40">
        <v>4</v>
      </c>
      <c r="D31" s="49">
        <f>3264.63268637657/60</f>
        <v>54.410544772942828</v>
      </c>
      <c r="E31" s="12">
        <v>4.185546875</v>
      </c>
      <c r="F31" s="15">
        <v>0.32490625977516102</v>
      </c>
      <c r="G31" s="82">
        <v>0.933685039382815</v>
      </c>
      <c r="H31" s="43">
        <v>0.93381578947368404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50" x14ac:dyDescent="0.5">
      <c r="A32" s="21" t="s">
        <v>13</v>
      </c>
      <c r="B32" s="14" t="s">
        <v>9</v>
      </c>
      <c r="C32" s="40">
        <v>8</v>
      </c>
      <c r="D32" s="49">
        <f>3255.92261743545/60</f>
        <v>54.265376957257494</v>
      </c>
      <c r="E32" s="12">
        <v>4.138671875</v>
      </c>
      <c r="F32" s="15">
        <v>0.30930861830711298</v>
      </c>
      <c r="G32" s="82">
        <v>0.93620447258904904</v>
      </c>
      <c r="H32" s="43">
        <v>0.93631578947368399</v>
      </c>
    </row>
    <row r="33" spans="1:8" x14ac:dyDescent="0.5">
      <c r="A33" s="21" t="s">
        <v>13</v>
      </c>
      <c r="B33" s="14" t="s">
        <v>9</v>
      </c>
      <c r="C33" s="40">
        <v>16</v>
      </c>
      <c r="D33" s="49">
        <f>3253.33005475997/60</f>
        <v>54.222167579332833</v>
      </c>
      <c r="E33" s="12">
        <v>4.212890625</v>
      </c>
      <c r="F33" s="15">
        <v>0.29678538441657998</v>
      </c>
      <c r="G33" s="82">
        <v>0.93966384357605204</v>
      </c>
      <c r="H33" s="43">
        <v>0.93973684210526298</v>
      </c>
    </row>
    <row r="34" spans="1:8" x14ac:dyDescent="0.5">
      <c r="A34" s="21" t="s">
        <v>13</v>
      </c>
      <c r="B34" s="14" t="s">
        <v>9</v>
      </c>
      <c r="C34" s="40">
        <v>32</v>
      </c>
      <c r="D34" s="49">
        <f>3248.06685042381/60</f>
        <v>54.134447507063506</v>
      </c>
      <c r="E34" s="12">
        <v>4.171875</v>
      </c>
      <c r="F34" s="15">
        <v>0.29048752784728998</v>
      </c>
      <c r="G34" s="82">
        <v>0.94097595466883999</v>
      </c>
      <c r="H34" s="43">
        <v>0.94105263157894703</v>
      </c>
    </row>
    <row r="35" spans="1:8" x14ac:dyDescent="0.5">
      <c r="A35" s="21" t="s">
        <v>13</v>
      </c>
      <c r="B35" s="14" t="s">
        <v>10</v>
      </c>
      <c r="C35" s="40">
        <v>4</v>
      </c>
      <c r="D35" s="49">
        <f>3343.88071084022/60</f>
        <v>55.731345180670338</v>
      </c>
      <c r="E35" s="12">
        <v>4.216796875</v>
      </c>
      <c r="F35" s="15">
        <v>0.31532588601112299</v>
      </c>
      <c r="G35" s="82">
        <v>0.93592456303614602</v>
      </c>
      <c r="H35" s="43">
        <v>0.93605263157894703</v>
      </c>
    </row>
    <row r="36" spans="1:8" x14ac:dyDescent="0.5">
      <c r="A36" s="21" t="s">
        <v>13</v>
      </c>
      <c r="B36" s="14" t="s">
        <v>10</v>
      </c>
      <c r="C36" s="40">
        <v>8</v>
      </c>
      <c r="D36" s="49">
        <f>3333.3400247097/60</f>
        <v>55.555667078495006</v>
      </c>
      <c r="E36" s="12">
        <v>4.18359375</v>
      </c>
      <c r="F36" s="15">
        <v>0.30692666769027699</v>
      </c>
      <c r="G36" s="82">
        <v>0.93862190074754903</v>
      </c>
      <c r="H36" s="43">
        <v>0.93868421052631501</v>
      </c>
    </row>
    <row r="37" spans="1:8" x14ac:dyDescent="0.5">
      <c r="A37" s="21" t="s">
        <v>13</v>
      </c>
      <c r="B37" s="14" t="s">
        <v>10</v>
      </c>
      <c r="C37" s="40">
        <v>16</v>
      </c>
      <c r="D37" s="49">
        <f>3336.59257221221/60</f>
        <v>55.609876203536835</v>
      </c>
      <c r="E37" s="12">
        <v>4.18359375</v>
      </c>
      <c r="F37" s="15">
        <v>0.29124227166175798</v>
      </c>
      <c r="G37" s="82">
        <v>0.94306815671676703</v>
      </c>
      <c r="H37" s="43">
        <v>0.94315789473684197</v>
      </c>
    </row>
    <row r="38" spans="1:8" ht="16.149999999999999" thickBot="1" x14ac:dyDescent="0.55000000000000004">
      <c r="A38" s="22" t="s">
        <v>13</v>
      </c>
      <c r="B38" s="23" t="s">
        <v>10</v>
      </c>
      <c r="C38" s="41">
        <v>32</v>
      </c>
      <c r="D38" s="88">
        <f>3337.86999225616/60</f>
        <v>55.631166537602667</v>
      </c>
      <c r="E38" s="25">
        <v>4.189453125</v>
      </c>
      <c r="F38" s="24">
        <v>0.27719417214393599</v>
      </c>
      <c r="G38" s="25">
        <v>0.945059946201808</v>
      </c>
      <c r="H38" s="44">
        <v>0.94513157894736799</v>
      </c>
    </row>
  </sheetData>
  <conditionalFormatting sqref="D3:D38">
    <cfRule type="cellIs" dxfId="13" priority="3" operator="greaterThan">
      <formula>82.885</formula>
    </cfRule>
  </conditionalFormatting>
  <conditionalFormatting sqref="E3:E38">
    <cfRule type="cellIs" dxfId="12" priority="2" operator="greaterThan">
      <formula>6.52</formula>
    </cfRule>
  </conditionalFormatting>
  <conditionalFormatting sqref="F2:F38">
    <cfRule type="cellIs" dxfId="11" priority="1" operator="greaterThan">
      <formula>0.3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5442F-DDC5-4B16-9503-F5A00B3AC9DA}">
  <dimension ref="A1:AX38"/>
  <sheetViews>
    <sheetView zoomScale="70" zoomScaleNormal="70" workbookViewId="0">
      <pane ySplit="2" topLeftCell="A3" activePane="bottomLeft" state="frozen"/>
      <selection pane="bottomLeft" activeCell="D2" sqref="D2:H2"/>
    </sheetView>
  </sheetViews>
  <sheetFormatPr defaultRowHeight="15.75" x14ac:dyDescent="0.5"/>
  <cols>
    <col min="1" max="1" width="14.125" customWidth="1"/>
    <col min="3" max="3" width="5" customWidth="1"/>
    <col min="4" max="8" width="9" style="1"/>
    <col min="9" max="9" width="5.625" customWidth="1"/>
  </cols>
  <sheetData>
    <row r="1" spans="1:50" ht="16.149999999999999" thickBot="1" x14ac:dyDescent="0.55000000000000004">
      <c r="A1" s="31" t="s">
        <v>17</v>
      </c>
      <c r="B1" s="27" t="s">
        <v>0</v>
      </c>
      <c r="C1" s="7" t="s">
        <v>2</v>
      </c>
      <c r="D1" s="34" t="s">
        <v>3</v>
      </c>
      <c r="E1" s="27" t="s">
        <v>11</v>
      </c>
      <c r="F1" s="32" t="s">
        <v>5</v>
      </c>
      <c r="G1" s="27" t="s">
        <v>7</v>
      </c>
      <c r="H1" s="33" t="s">
        <v>6</v>
      </c>
      <c r="J1" s="3"/>
      <c r="K1" s="5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</row>
    <row r="2" spans="1:50" ht="16.149999999999999" thickBot="1" x14ac:dyDescent="0.55000000000000004">
      <c r="A2" s="26" t="s">
        <v>1</v>
      </c>
      <c r="B2" s="27"/>
      <c r="C2" s="7"/>
      <c r="D2" s="76">
        <v>5.85</v>
      </c>
      <c r="E2" s="29"/>
      <c r="F2" s="28">
        <v>1.17</v>
      </c>
      <c r="G2" s="20">
        <v>0.5</v>
      </c>
      <c r="H2" s="42">
        <v>0.5</v>
      </c>
      <c r="J2" s="8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8"/>
    </row>
    <row r="3" spans="1:50" s="1" customFormat="1" x14ac:dyDescent="0.5">
      <c r="A3" s="17" t="s">
        <v>4</v>
      </c>
      <c r="B3" s="18" t="s">
        <v>8</v>
      </c>
      <c r="C3" s="39">
        <v>4</v>
      </c>
      <c r="D3" s="36">
        <f>505/60</f>
        <v>8.4166666666666661</v>
      </c>
      <c r="E3" s="20">
        <v>8.51</v>
      </c>
      <c r="F3" s="19">
        <v>0.39</v>
      </c>
      <c r="G3" s="20">
        <v>0.91</v>
      </c>
      <c r="H3" s="42">
        <v>0.91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50" s="1" customFormat="1" x14ac:dyDescent="0.5">
      <c r="A4" s="21" t="s">
        <v>4</v>
      </c>
      <c r="B4" s="13" t="s">
        <v>8</v>
      </c>
      <c r="C4" s="40">
        <v>8</v>
      </c>
      <c r="D4" s="37">
        <f>506/60</f>
        <v>8.4333333333333336</v>
      </c>
      <c r="E4" s="12">
        <v>8.5299999999999994</v>
      </c>
      <c r="F4" s="15">
        <v>19.28</v>
      </c>
      <c r="G4" s="12">
        <v>0.9</v>
      </c>
      <c r="H4" s="43">
        <v>0.9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50" s="1" customFormat="1" x14ac:dyDescent="0.5">
      <c r="A5" s="21" t="s">
        <v>4</v>
      </c>
      <c r="B5" s="13" t="s">
        <v>8</v>
      </c>
      <c r="C5" s="40">
        <v>16</v>
      </c>
      <c r="D5" s="37">
        <f>507/60</f>
        <v>8.4499999999999993</v>
      </c>
      <c r="E5" s="12">
        <v>8.5399999999999991</v>
      </c>
      <c r="F5" s="15">
        <v>8.09</v>
      </c>
      <c r="G5" s="12">
        <v>0.91</v>
      </c>
      <c r="H5" s="43">
        <v>0.91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50" s="1" customFormat="1" x14ac:dyDescent="0.5">
      <c r="A6" s="21" t="s">
        <v>4</v>
      </c>
      <c r="B6" s="13" t="s">
        <v>8</v>
      </c>
      <c r="C6" s="40">
        <v>32</v>
      </c>
      <c r="D6" s="37">
        <f>520/60</f>
        <v>8.6666666666666661</v>
      </c>
      <c r="E6" s="12">
        <v>8.58</v>
      </c>
      <c r="F6" s="15">
        <v>6.22</v>
      </c>
      <c r="G6" s="12">
        <v>0.92</v>
      </c>
      <c r="H6" s="43">
        <v>0.92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50" s="1" customFormat="1" x14ac:dyDescent="0.5">
      <c r="A7" s="21" t="s">
        <v>4</v>
      </c>
      <c r="B7" s="14" t="s">
        <v>9</v>
      </c>
      <c r="C7" s="40">
        <v>4</v>
      </c>
      <c r="D7" s="37">
        <f>538/60</f>
        <v>8.9666666666666668</v>
      </c>
      <c r="E7" s="12">
        <v>8.74</v>
      </c>
      <c r="F7" s="15">
        <v>12.7</v>
      </c>
      <c r="G7" s="12">
        <v>0.89</v>
      </c>
      <c r="H7" s="43">
        <v>0.89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50" s="1" customFormat="1" x14ac:dyDescent="0.5">
      <c r="A8" s="21" t="s">
        <v>4</v>
      </c>
      <c r="B8" s="14" t="s">
        <v>9</v>
      </c>
      <c r="C8" s="40">
        <v>8</v>
      </c>
      <c r="D8" s="37">
        <f>539/60</f>
        <v>8.9833333333333325</v>
      </c>
      <c r="E8" s="12">
        <v>8.75</v>
      </c>
      <c r="F8" s="15">
        <v>0.37</v>
      </c>
      <c r="G8" s="12">
        <v>0.92</v>
      </c>
      <c r="H8" s="43">
        <v>0.92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50" s="1" customFormat="1" x14ac:dyDescent="0.5">
      <c r="A9" s="21" t="s">
        <v>4</v>
      </c>
      <c r="B9" s="14" t="s">
        <v>9</v>
      </c>
      <c r="C9" s="40">
        <v>16</v>
      </c>
      <c r="D9" s="37">
        <f>542/60</f>
        <v>9.0333333333333332</v>
      </c>
      <c r="E9" s="12">
        <v>8.75</v>
      </c>
      <c r="F9" s="15">
        <v>0.38</v>
      </c>
      <c r="G9" s="12">
        <v>0.92</v>
      </c>
      <c r="H9" s="43">
        <v>0.92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50" s="1" customFormat="1" x14ac:dyDescent="0.5">
      <c r="A10" s="21" t="s">
        <v>4</v>
      </c>
      <c r="B10" s="14" t="s">
        <v>9</v>
      </c>
      <c r="C10" s="40">
        <v>32</v>
      </c>
      <c r="D10" s="37">
        <f>559/60</f>
        <v>9.3166666666666664</v>
      </c>
      <c r="E10" s="12">
        <v>8.7799999999999994</v>
      </c>
      <c r="F10" s="15">
        <v>0.45</v>
      </c>
      <c r="G10" s="12">
        <v>0.92</v>
      </c>
      <c r="H10" s="43">
        <v>0.92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50" s="1" customFormat="1" x14ac:dyDescent="0.5">
      <c r="A11" s="21" t="s">
        <v>4</v>
      </c>
      <c r="B11" s="14" t="s">
        <v>10</v>
      </c>
      <c r="C11" s="40">
        <v>4</v>
      </c>
      <c r="D11" s="37">
        <f>585/60</f>
        <v>9.75</v>
      </c>
      <c r="E11" s="12">
        <v>8.9700000000000006</v>
      </c>
      <c r="F11" s="15">
        <v>0.38</v>
      </c>
      <c r="G11" s="12">
        <v>0.92</v>
      </c>
      <c r="H11" s="43">
        <v>0.92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50" s="1" customFormat="1" x14ac:dyDescent="0.5">
      <c r="A12" s="21" t="s">
        <v>4</v>
      </c>
      <c r="B12" s="14" t="s">
        <v>10</v>
      </c>
      <c r="C12" s="40">
        <v>8</v>
      </c>
      <c r="D12" s="37">
        <f>584/60</f>
        <v>9.7333333333333325</v>
      </c>
      <c r="E12" s="12">
        <v>8.9499999999999993</v>
      </c>
      <c r="F12" s="15">
        <v>0.35</v>
      </c>
      <c r="G12" s="12">
        <v>0.93</v>
      </c>
      <c r="H12" s="43">
        <v>0.93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50" s="1" customFormat="1" x14ac:dyDescent="0.5">
      <c r="A13" s="21" t="s">
        <v>4</v>
      </c>
      <c r="B13" s="14" t="s">
        <v>10</v>
      </c>
      <c r="C13" s="40">
        <v>16</v>
      </c>
      <c r="D13" s="37">
        <f>586/60</f>
        <v>9.7666666666666675</v>
      </c>
      <c r="E13" s="12">
        <v>9.01</v>
      </c>
      <c r="F13" s="15">
        <v>0.36</v>
      </c>
      <c r="G13" s="12">
        <v>0.93</v>
      </c>
      <c r="H13" s="43">
        <v>0.93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50" s="1" customFormat="1" ht="16.149999999999999" thickBot="1" x14ac:dyDescent="0.55000000000000004">
      <c r="A14" s="22" t="s">
        <v>4</v>
      </c>
      <c r="B14" s="23" t="s">
        <v>10</v>
      </c>
      <c r="C14" s="41">
        <v>32</v>
      </c>
      <c r="D14" s="38">
        <f>615/60</f>
        <v>10.25</v>
      </c>
      <c r="E14" s="25">
        <v>9.0500000000000007</v>
      </c>
      <c r="F14" s="24">
        <v>0.35</v>
      </c>
      <c r="G14" s="25">
        <v>0.93</v>
      </c>
      <c r="H14" s="44">
        <v>0.93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50" x14ac:dyDescent="0.5">
      <c r="A15" s="17" t="s">
        <v>12</v>
      </c>
      <c r="B15" s="18" t="s">
        <v>8</v>
      </c>
      <c r="C15" s="39">
        <v>4</v>
      </c>
      <c r="D15" s="36">
        <f>881.53566789627/60</f>
        <v>14.6922611316045</v>
      </c>
      <c r="E15" s="20">
        <v>3.6726474761962802</v>
      </c>
      <c r="F15" s="19">
        <v>0.39087691903114302</v>
      </c>
      <c r="G15" s="20">
        <v>0.91096469683522197</v>
      </c>
      <c r="H15" s="42">
        <v>0.91118421052631504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Y15" s="8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</row>
    <row r="16" spans="1:50" x14ac:dyDescent="0.5">
      <c r="A16" s="21" t="s">
        <v>12</v>
      </c>
      <c r="B16" s="13" t="s">
        <v>8</v>
      </c>
      <c r="C16" s="40">
        <v>8</v>
      </c>
      <c r="D16" s="37">
        <f>880.457821369171/60</f>
        <v>14.674297022819518</v>
      </c>
      <c r="E16" s="12">
        <v>3.6775345802307098</v>
      </c>
      <c r="F16" s="15">
        <v>0.38119295239448497</v>
      </c>
      <c r="G16" s="12">
        <v>0.91538227960978402</v>
      </c>
      <c r="H16" s="43">
        <v>0.915657894736842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Y16" s="8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"/>
      <c r="AU16" s="1"/>
      <c r="AV16" s="1"/>
      <c r="AW16" s="1"/>
      <c r="AX16" s="1"/>
    </row>
    <row r="17" spans="1:50" x14ac:dyDescent="0.5">
      <c r="A17" s="21" t="s">
        <v>12</v>
      </c>
      <c r="B17" s="13" t="s">
        <v>8</v>
      </c>
      <c r="C17" s="40">
        <v>16</v>
      </c>
      <c r="D17" s="37">
        <f>880.414301395416/60</f>
        <v>14.6735716899236</v>
      </c>
      <c r="E17" s="12">
        <v>3.69346618652343</v>
      </c>
      <c r="F17" s="15">
        <v>0.37610396742820701</v>
      </c>
      <c r="G17" s="12">
        <v>0.91815027852924302</v>
      </c>
      <c r="H17" s="43">
        <v>0.91842105263157803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Y17" s="8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"/>
      <c r="AU17" s="1"/>
      <c r="AV17" s="1"/>
      <c r="AW17" s="1"/>
      <c r="AX17" s="1"/>
    </row>
    <row r="18" spans="1:50" x14ac:dyDescent="0.5">
      <c r="A18" s="21" t="s">
        <v>12</v>
      </c>
      <c r="B18" s="13" t="s">
        <v>8</v>
      </c>
      <c r="C18" s="40">
        <v>32</v>
      </c>
      <c r="D18" s="37">
        <f>880.201947212219/60</f>
        <v>14.670032453536983</v>
      </c>
      <c r="E18" s="12">
        <v>3.7276153564453098</v>
      </c>
      <c r="F18" s="15">
        <v>0.36471998691558799</v>
      </c>
      <c r="G18" s="12">
        <v>0.92228740930617703</v>
      </c>
      <c r="H18" s="43">
        <v>0.92249999999999999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Y18" s="8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"/>
      <c r="AU18" s="1"/>
      <c r="AV18" s="1"/>
      <c r="AW18" s="1"/>
      <c r="AX18" s="1"/>
    </row>
    <row r="19" spans="1:50" x14ac:dyDescent="0.5">
      <c r="A19" s="21" t="s">
        <v>12</v>
      </c>
      <c r="B19" s="14" t="s">
        <v>9</v>
      </c>
      <c r="C19" s="40">
        <v>4</v>
      </c>
      <c r="D19" s="37">
        <f>905.843836069107/60</f>
        <v>15.097397267818451</v>
      </c>
      <c r="E19" s="12">
        <v>3.8034501075744598</v>
      </c>
      <c r="F19" s="15">
        <v>0.38283962011337203</v>
      </c>
      <c r="G19" s="12">
        <v>0.91154350539977103</v>
      </c>
      <c r="H19" s="43">
        <v>0.91184210526315701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Y19" s="2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5">
      <c r="A20" s="21" t="s">
        <v>12</v>
      </c>
      <c r="B20" s="14" t="s">
        <v>9</v>
      </c>
      <c r="C20" s="40">
        <v>8</v>
      </c>
      <c r="D20" s="37">
        <f>902.017049789428/60</f>
        <v>15.033617496490468</v>
      </c>
      <c r="E20" s="12">
        <v>3.8161735534667902</v>
      </c>
      <c r="F20" s="15">
        <v>0.36370348930358798</v>
      </c>
      <c r="G20" s="12">
        <v>0.92140816065364495</v>
      </c>
      <c r="H20" s="43">
        <v>0.92157894736842105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Y20" s="3"/>
      <c r="Z20" s="5"/>
      <c r="AA20" s="6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5">
      <c r="A21" s="21" t="s">
        <v>12</v>
      </c>
      <c r="B21" s="14" t="s">
        <v>9</v>
      </c>
      <c r="C21" s="40">
        <v>16</v>
      </c>
      <c r="D21" s="37">
        <f>902.558025360107/60</f>
        <v>15.042633756001782</v>
      </c>
      <c r="E21" s="12">
        <v>3.8353691101074201</v>
      </c>
      <c r="F21" s="15">
        <v>0.366378873586654</v>
      </c>
      <c r="G21" s="12">
        <v>0.92455529661472802</v>
      </c>
      <c r="H21" s="43">
        <v>0.92473684210526297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Y21" s="4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5">
      <c r="A22" s="21" t="s">
        <v>12</v>
      </c>
      <c r="B22" s="14" t="s">
        <v>9</v>
      </c>
      <c r="C22" s="40">
        <v>32</v>
      </c>
      <c r="D22" s="37">
        <f>902.143099784851/60</f>
        <v>15.035718329747516</v>
      </c>
      <c r="E22" s="12">
        <v>3.8758354187011701</v>
      </c>
      <c r="F22" s="15">
        <v>0.36108326911926197</v>
      </c>
      <c r="G22" s="12">
        <v>0.92577643654451003</v>
      </c>
      <c r="H22" s="43">
        <v>0.92592105263157898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Y22" s="2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</row>
    <row r="23" spans="1:50" x14ac:dyDescent="0.5">
      <c r="A23" s="21" t="s">
        <v>12</v>
      </c>
      <c r="B23" s="14" t="s">
        <v>10</v>
      </c>
      <c r="C23" s="40">
        <v>4</v>
      </c>
      <c r="D23" s="37">
        <f>931.413363456726/60</f>
        <v>15.523556057612099</v>
      </c>
      <c r="E23" s="12">
        <v>3.9340133666992099</v>
      </c>
      <c r="F23" s="15">
        <v>0.36816722154617298</v>
      </c>
      <c r="G23" s="12">
        <v>0.91871168257630398</v>
      </c>
      <c r="H23" s="43">
        <v>0.91894736842105196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Y23" s="8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</row>
    <row r="24" spans="1:50" x14ac:dyDescent="0.5">
      <c r="A24" s="21" t="s">
        <v>12</v>
      </c>
      <c r="B24" s="14" t="s">
        <v>10</v>
      </c>
      <c r="C24" s="40">
        <v>8</v>
      </c>
      <c r="D24" s="37">
        <f>919.137803077697/60</f>
        <v>15.318963384628283</v>
      </c>
      <c r="E24" s="12">
        <v>3.95096588134765</v>
      </c>
      <c r="F24" s="15">
        <v>0.385588318109512</v>
      </c>
      <c r="G24" s="12">
        <v>0.92171906178254404</v>
      </c>
      <c r="H24" s="43">
        <v>0.92197368421052595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Y24" s="8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"/>
      <c r="AU24" s="1"/>
      <c r="AV24" s="1"/>
      <c r="AW24" s="1"/>
      <c r="AX24" s="1"/>
    </row>
    <row r="25" spans="1:50" x14ac:dyDescent="0.5">
      <c r="A25" s="21" t="s">
        <v>12</v>
      </c>
      <c r="B25" s="14" t="s">
        <v>10</v>
      </c>
      <c r="C25" s="40">
        <v>16</v>
      </c>
      <c r="D25" s="37">
        <f>918.249028682708/60</f>
        <v>15.304150478045132</v>
      </c>
      <c r="E25" s="12">
        <v>3.9780960083007799</v>
      </c>
      <c r="F25" s="15">
        <v>0.36773142218589699</v>
      </c>
      <c r="G25" s="12">
        <v>0.92410263302283702</v>
      </c>
      <c r="H25" s="43">
        <v>0.92434210526315697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Y25" s="8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"/>
      <c r="AU25" s="1"/>
      <c r="AV25" s="1"/>
      <c r="AW25" s="1"/>
      <c r="AX25" s="1"/>
    </row>
    <row r="26" spans="1:50" ht="16.149999999999999" thickBot="1" x14ac:dyDescent="0.55000000000000004">
      <c r="A26" s="22" t="s">
        <v>12</v>
      </c>
      <c r="B26" s="23" t="s">
        <v>10</v>
      </c>
      <c r="C26" s="41">
        <v>32</v>
      </c>
      <c r="D26" s="38">
        <f>917.486737012863/60</f>
        <v>15.291445616881051</v>
      </c>
      <c r="E26" s="25">
        <v>4.0392532348632804</v>
      </c>
      <c r="F26" s="24">
        <v>0.36827841401100098</v>
      </c>
      <c r="G26" s="25">
        <v>0.92848574467369405</v>
      </c>
      <c r="H26" s="44">
        <v>0.928684210526315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Y26" s="8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"/>
      <c r="AU26" s="1"/>
      <c r="AV26" s="1"/>
      <c r="AW26" s="1"/>
      <c r="AX26" s="1"/>
    </row>
    <row r="27" spans="1:50" x14ac:dyDescent="0.5">
      <c r="A27" s="17" t="s">
        <v>13</v>
      </c>
      <c r="B27" s="18" t="s">
        <v>8</v>
      </c>
      <c r="C27" s="39">
        <v>4</v>
      </c>
      <c r="D27" s="36">
        <f>888.697790145874/60</f>
        <v>14.811629835764567</v>
      </c>
      <c r="E27" s="20">
        <v>3.6751008033752401</v>
      </c>
      <c r="F27" s="19">
        <v>0.41312918066978399</v>
      </c>
      <c r="G27" s="20">
        <v>0.90493087882761503</v>
      </c>
      <c r="H27" s="42">
        <v>0.90526315789473599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50" x14ac:dyDescent="0.5">
      <c r="A28" s="21" t="s">
        <v>13</v>
      </c>
      <c r="B28" s="13" t="s">
        <v>8</v>
      </c>
      <c r="C28" s="40">
        <v>8</v>
      </c>
      <c r="D28" s="37">
        <f>886.170692920684/60</f>
        <v>14.769511548678066</v>
      </c>
      <c r="E28" s="12">
        <v>3.68377685546875</v>
      </c>
      <c r="F28" s="15">
        <v>0.37175157666206299</v>
      </c>
      <c r="G28" s="12">
        <v>0.91736600465489204</v>
      </c>
      <c r="H28" s="43">
        <v>0.91763157894736802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50" x14ac:dyDescent="0.5">
      <c r="A29" s="21" t="s">
        <v>13</v>
      </c>
      <c r="B29" s="13" t="s">
        <v>8</v>
      </c>
      <c r="C29" s="40">
        <v>16</v>
      </c>
      <c r="D29" s="37">
        <f>887.832438707351/60</f>
        <v>14.797207311789183</v>
      </c>
      <c r="E29" s="12">
        <v>3.69999694824218</v>
      </c>
      <c r="F29" s="15">
        <v>0.370620638132095</v>
      </c>
      <c r="G29" s="12">
        <v>0.91799484091299</v>
      </c>
      <c r="H29" s="43">
        <v>0.91828947368420999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50" x14ac:dyDescent="0.5">
      <c r="A30" s="21" t="s">
        <v>13</v>
      </c>
      <c r="B30" s="13" t="s">
        <v>8</v>
      </c>
      <c r="C30" s="40">
        <v>32</v>
      </c>
      <c r="D30" s="37">
        <f>886.737896680831/60</f>
        <v>14.778964944680517</v>
      </c>
      <c r="E30" s="12">
        <v>3.7283477783203098</v>
      </c>
      <c r="F30" s="15">
        <v>0.35959324240684498</v>
      </c>
      <c r="G30" s="12">
        <v>0.91866771081917797</v>
      </c>
      <c r="H30" s="43">
        <v>0.91894736842105196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50" x14ac:dyDescent="0.5">
      <c r="A31" s="21" t="s">
        <v>13</v>
      </c>
      <c r="B31" s="14" t="s">
        <v>9</v>
      </c>
      <c r="C31" s="40">
        <v>4</v>
      </c>
      <c r="D31" s="37">
        <f>907.694700717926/60</f>
        <v>15.128245011965435</v>
      </c>
      <c r="E31" s="12">
        <v>3.80874252319335</v>
      </c>
      <c r="F31" s="15">
        <v>0.390222758054733</v>
      </c>
      <c r="G31" s="12">
        <v>0.91362622164336504</v>
      </c>
      <c r="H31" s="43">
        <v>0.91394736842105195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50" x14ac:dyDescent="0.5">
      <c r="A32" s="21" t="s">
        <v>13</v>
      </c>
      <c r="B32" s="14" t="s">
        <v>9</v>
      </c>
      <c r="C32" s="40">
        <v>8</v>
      </c>
      <c r="D32" s="37">
        <f>908.548324108123/60</f>
        <v>15.142472068468717</v>
      </c>
      <c r="E32" s="12">
        <v>3.8142204284667902</v>
      </c>
      <c r="F32" s="15">
        <v>0.37907910346984802</v>
      </c>
      <c r="G32" s="12">
        <v>0.91709922253523102</v>
      </c>
      <c r="H32" s="43">
        <v>0.91736842105263094</v>
      </c>
    </row>
    <row r="33" spans="1:8" x14ac:dyDescent="0.5">
      <c r="A33" s="21" t="s">
        <v>13</v>
      </c>
      <c r="B33" s="14" t="s">
        <v>9</v>
      </c>
      <c r="C33" s="40">
        <v>16</v>
      </c>
      <c r="D33" s="37">
        <f>909.59468460083/60</f>
        <v>15.159911410013832</v>
      </c>
      <c r="E33" s="12">
        <v>3.8390922546386701</v>
      </c>
      <c r="F33" s="15">
        <v>0.35925802588462802</v>
      </c>
      <c r="G33" s="12">
        <v>0.92068399048137906</v>
      </c>
      <c r="H33" s="43">
        <v>0.92092105263157897</v>
      </c>
    </row>
    <row r="34" spans="1:8" x14ac:dyDescent="0.5">
      <c r="A34" s="21" t="s">
        <v>13</v>
      </c>
      <c r="B34" s="14" t="s">
        <v>9</v>
      </c>
      <c r="C34" s="40">
        <v>32</v>
      </c>
      <c r="D34" s="37">
        <f>905.460471153259/60</f>
        <v>15.091007852554318</v>
      </c>
      <c r="E34" s="12">
        <v>3.8776054382324201</v>
      </c>
      <c r="F34" s="15">
        <v>0.35763856768607999</v>
      </c>
      <c r="G34" s="12">
        <v>0.92356531952347198</v>
      </c>
      <c r="H34" s="43">
        <v>0.92381578947368403</v>
      </c>
    </row>
    <row r="35" spans="1:8" x14ac:dyDescent="0.5">
      <c r="A35" s="21" t="s">
        <v>13</v>
      </c>
      <c r="B35" s="14" t="s">
        <v>10</v>
      </c>
      <c r="C35" s="40">
        <v>4</v>
      </c>
      <c r="D35" s="37">
        <f>935.129879236221/60</f>
        <v>15.585497987270349</v>
      </c>
      <c r="E35" s="12">
        <v>3.9415206909179599</v>
      </c>
      <c r="F35" s="15">
        <v>0.38290780782699502</v>
      </c>
      <c r="G35" s="12">
        <v>0.91804211309943096</v>
      </c>
      <c r="H35" s="43">
        <v>0.91828947368420999</v>
      </c>
    </row>
    <row r="36" spans="1:8" x14ac:dyDescent="0.5">
      <c r="A36" s="21" t="s">
        <v>13</v>
      </c>
      <c r="B36" s="14" t="s">
        <v>10</v>
      </c>
      <c r="C36" s="40">
        <v>8</v>
      </c>
      <c r="D36" s="37">
        <f>944.956450700759/60</f>
        <v>15.749274178345983</v>
      </c>
      <c r="E36" s="12">
        <v>3.9498062133789</v>
      </c>
      <c r="F36" s="15">
        <v>0.38210779428482</v>
      </c>
      <c r="G36" s="12">
        <v>0.92069270858448304</v>
      </c>
      <c r="H36" s="43">
        <v>0.92092105263157897</v>
      </c>
    </row>
    <row r="37" spans="1:8" x14ac:dyDescent="0.5">
      <c r="A37" s="21" t="s">
        <v>13</v>
      </c>
      <c r="B37" s="14" t="s">
        <v>10</v>
      </c>
      <c r="C37" s="40">
        <v>16</v>
      </c>
      <c r="D37" s="37">
        <f>940.619474887847/60</f>
        <v>15.676991248130783</v>
      </c>
      <c r="E37" s="12">
        <v>3.9868850708007799</v>
      </c>
      <c r="F37" s="15">
        <v>0.36972373723983698</v>
      </c>
      <c r="G37" s="12">
        <v>0.92493305549744598</v>
      </c>
      <c r="H37" s="43">
        <v>0.92513157894736797</v>
      </c>
    </row>
    <row r="38" spans="1:8" ht="16.149999999999999" thickBot="1" x14ac:dyDescent="0.55000000000000004">
      <c r="A38" s="22" t="s">
        <v>13</v>
      </c>
      <c r="B38" s="23" t="s">
        <v>10</v>
      </c>
      <c r="C38" s="41">
        <v>32</v>
      </c>
      <c r="D38" s="38">
        <f>939.13181400299/60</f>
        <v>15.652196900049834</v>
      </c>
      <c r="E38" s="25">
        <v>4.0409011840820304</v>
      </c>
      <c r="F38" s="24">
        <v>0.36449983716010997</v>
      </c>
      <c r="G38" s="25">
        <v>0.92609128274556596</v>
      </c>
      <c r="H38" s="44">
        <v>0.92631578947368398</v>
      </c>
    </row>
  </sheetData>
  <conditionalFormatting sqref="D3:D38">
    <cfRule type="cellIs" dxfId="10" priority="3" operator="greaterThan">
      <formula>82.885</formula>
    </cfRule>
  </conditionalFormatting>
  <conditionalFormatting sqref="E3:E38">
    <cfRule type="cellIs" dxfId="9" priority="2" operator="greaterThan">
      <formula>6.52</formula>
    </cfRule>
  </conditionalFormatting>
  <conditionalFormatting sqref="F3:F38">
    <cfRule type="cellIs" dxfId="8" priority="1" operator="greaterThan">
      <formula>0.3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697D7-2EC0-419B-A481-EE7B03F59CED}">
  <dimension ref="A1:AX38"/>
  <sheetViews>
    <sheetView zoomScale="70" zoomScaleNormal="70" workbookViewId="0">
      <pane ySplit="2" topLeftCell="A3" activePane="bottomLeft" state="frozen"/>
      <selection pane="bottomLeft" activeCell="G20" sqref="G20"/>
    </sheetView>
  </sheetViews>
  <sheetFormatPr defaultRowHeight="15.75" x14ac:dyDescent="0.5"/>
  <cols>
    <col min="1" max="1" width="14.125" customWidth="1"/>
    <col min="3" max="3" width="5" customWidth="1"/>
    <col min="4" max="8" width="9" style="1"/>
    <col min="9" max="9" width="5.625" customWidth="1"/>
  </cols>
  <sheetData>
    <row r="1" spans="1:50" ht="16.149999999999999" thickBot="1" x14ac:dyDescent="0.55000000000000004">
      <c r="A1" s="31" t="s">
        <v>18</v>
      </c>
      <c r="B1" s="27" t="s">
        <v>0</v>
      </c>
      <c r="C1" s="7" t="s">
        <v>2</v>
      </c>
      <c r="D1" s="34" t="s">
        <v>3</v>
      </c>
      <c r="E1" s="27" t="s">
        <v>11</v>
      </c>
      <c r="F1" s="32" t="s">
        <v>5</v>
      </c>
      <c r="G1" s="27" t="s">
        <v>7</v>
      </c>
      <c r="H1" s="33" t="s">
        <v>6</v>
      </c>
      <c r="J1" s="3"/>
      <c r="K1" s="5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</row>
    <row r="2" spans="1:50" ht="16.149999999999999" thickBot="1" x14ac:dyDescent="0.55000000000000004">
      <c r="A2" s="26" t="s">
        <v>1</v>
      </c>
      <c r="B2" s="27"/>
      <c r="C2" s="7"/>
      <c r="D2" s="76">
        <f>218/60</f>
        <v>3.6333333333333333</v>
      </c>
      <c r="E2" s="29"/>
      <c r="F2" s="105">
        <v>263</v>
      </c>
      <c r="G2" s="29">
        <v>0.49</v>
      </c>
      <c r="H2" s="30">
        <v>0.51</v>
      </c>
      <c r="J2" s="8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8"/>
    </row>
    <row r="3" spans="1:50" s="1" customFormat="1" x14ac:dyDescent="0.5">
      <c r="A3" s="17" t="s">
        <v>4</v>
      </c>
      <c r="B3" s="18" t="s">
        <v>8</v>
      </c>
      <c r="C3" s="39">
        <v>4</v>
      </c>
      <c r="D3" s="36">
        <f>341/60</f>
        <v>5.6833333333333336</v>
      </c>
      <c r="E3" s="20">
        <v>8.5299999999999994</v>
      </c>
      <c r="F3" s="19">
        <v>35.159999999999997</v>
      </c>
      <c r="G3" s="20">
        <v>0.87</v>
      </c>
      <c r="H3" s="42">
        <v>0.87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50" s="1" customFormat="1" x14ac:dyDescent="0.5">
      <c r="A4" s="21" t="s">
        <v>4</v>
      </c>
      <c r="B4" s="13" t="s">
        <v>8</v>
      </c>
      <c r="C4" s="40">
        <v>8</v>
      </c>
      <c r="D4" s="37">
        <f>342/60</f>
        <v>5.7</v>
      </c>
      <c r="E4" s="12">
        <v>8.5399999999999991</v>
      </c>
      <c r="F4" s="15">
        <v>0.48</v>
      </c>
      <c r="G4" s="12">
        <v>0.88</v>
      </c>
      <c r="H4" s="43">
        <v>0.88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50" s="1" customFormat="1" x14ac:dyDescent="0.5">
      <c r="A5" s="21" t="s">
        <v>4</v>
      </c>
      <c r="B5" s="13" t="s">
        <v>8</v>
      </c>
      <c r="C5" s="40">
        <v>16</v>
      </c>
      <c r="D5" s="37">
        <f>343/60</f>
        <v>5.7166666666666668</v>
      </c>
      <c r="E5" s="12">
        <v>8.5500000000000007</v>
      </c>
      <c r="F5" s="15">
        <v>21.48</v>
      </c>
      <c r="G5" s="12">
        <v>0.88</v>
      </c>
      <c r="H5" s="43">
        <v>0.88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50" s="1" customFormat="1" x14ac:dyDescent="0.5">
      <c r="A6" s="21" t="s">
        <v>4</v>
      </c>
      <c r="B6" s="13" t="s">
        <v>8</v>
      </c>
      <c r="C6" s="40">
        <v>32</v>
      </c>
      <c r="D6" s="37">
        <v>5.8666666666666663</v>
      </c>
      <c r="E6" s="12">
        <v>8.68</v>
      </c>
      <c r="F6" s="15">
        <v>0.49</v>
      </c>
      <c r="G6" s="12">
        <v>0.91</v>
      </c>
      <c r="H6" s="43">
        <v>0.91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50" s="1" customFormat="1" x14ac:dyDescent="0.5">
      <c r="A7" s="21" t="s">
        <v>4</v>
      </c>
      <c r="B7" s="14" t="s">
        <v>9</v>
      </c>
      <c r="C7" s="40">
        <v>4</v>
      </c>
      <c r="D7" s="37">
        <f>362/60</f>
        <v>6.0333333333333332</v>
      </c>
      <c r="E7" s="12">
        <v>8.73</v>
      </c>
      <c r="F7" s="15">
        <v>0.39</v>
      </c>
      <c r="G7" s="12">
        <v>0.88</v>
      </c>
      <c r="H7" s="43">
        <v>0.88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50" s="1" customFormat="1" x14ac:dyDescent="0.5">
      <c r="A8" s="21" t="s">
        <v>4</v>
      </c>
      <c r="B8" s="14" t="s">
        <v>9</v>
      </c>
      <c r="C8" s="40">
        <v>8</v>
      </c>
      <c r="D8" s="37">
        <f>362/60</f>
        <v>6.0333333333333332</v>
      </c>
      <c r="E8" s="12">
        <v>8.74</v>
      </c>
      <c r="F8" s="15">
        <v>0.36</v>
      </c>
      <c r="G8" s="12">
        <v>0.89</v>
      </c>
      <c r="H8" s="43">
        <v>0.89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50" s="1" customFormat="1" x14ac:dyDescent="0.5">
      <c r="A9" s="21" t="s">
        <v>4</v>
      </c>
      <c r="B9" s="14" t="s">
        <v>9</v>
      </c>
      <c r="C9" s="40">
        <v>16</v>
      </c>
      <c r="D9" s="37">
        <f>364/60</f>
        <v>6.0666666666666664</v>
      </c>
      <c r="E9" s="12">
        <v>8.74</v>
      </c>
      <c r="F9" s="15">
        <v>0.38</v>
      </c>
      <c r="G9" s="12">
        <v>0.9</v>
      </c>
      <c r="H9" s="43">
        <v>0.9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50" s="1" customFormat="1" x14ac:dyDescent="0.5">
      <c r="A10" s="21" t="s">
        <v>4</v>
      </c>
      <c r="B10" s="14" t="s">
        <v>9</v>
      </c>
      <c r="C10" s="40">
        <v>32</v>
      </c>
      <c r="D10" s="37">
        <v>6.2666666666666666</v>
      </c>
      <c r="E10" s="12">
        <v>8.7899999999999991</v>
      </c>
      <c r="F10" s="15">
        <v>0.38</v>
      </c>
      <c r="G10" s="12">
        <v>0.91</v>
      </c>
      <c r="H10" s="43">
        <v>0.91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50" s="1" customFormat="1" x14ac:dyDescent="0.5">
      <c r="A11" s="21" t="s">
        <v>4</v>
      </c>
      <c r="B11" s="14" t="s">
        <v>10</v>
      </c>
      <c r="C11" s="40">
        <v>4</v>
      </c>
      <c r="D11" s="37">
        <f>389/60</f>
        <v>6.4833333333333334</v>
      </c>
      <c r="E11" s="12">
        <v>8.9499999999999993</v>
      </c>
      <c r="F11" s="15">
        <v>34</v>
      </c>
      <c r="G11" s="12">
        <v>0.89</v>
      </c>
      <c r="H11" s="43">
        <v>0.89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50" s="1" customFormat="1" x14ac:dyDescent="0.5">
      <c r="A12" s="21" t="s">
        <v>4</v>
      </c>
      <c r="B12" s="14" t="s">
        <v>10</v>
      </c>
      <c r="C12" s="40">
        <v>8</v>
      </c>
      <c r="D12" s="37">
        <f>389/60</f>
        <v>6.4833333333333334</v>
      </c>
      <c r="E12" s="12">
        <v>8.9499999999999993</v>
      </c>
      <c r="F12" s="15">
        <v>26.44</v>
      </c>
      <c r="G12" s="12">
        <v>0.89</v>
      </c>
      <c r="H12" s="43">
        <v>0.89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50" s="1" customFormat="1" x14ac:dyDescent="0.5">
      <c r="A13" s="21" t="s">
        <v>4</v>
      </c>
      <c r="B13" s="14" t="s">
        <v>10</v>
      </c>
      <c r="C13" s="40">
        <v>16</v>
      </c>
      <c r="D13" s="37">
        <f>390/60</f>
        <v>6.5</v>
      </c>
      <c r="E13" s="12">
        <v>8.98</v>
      </c>
      <c r="F13" s="15">
        <v>15.57</v>
      </c>
      <c r="G13" s="12">
        <v>0.89</v>
      </c>
      <c r="H13" s="43">
        <v>0.89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50" s="1" customFormat="1" ht="16.149999999999999" thickBot="1" x14ac:dyDescent="0.55000000000000004">
      <c r="A14" s="22" t="s">
        <v>4</v>
      </c>
      <c r="B14" s="23" t="s">
        <v>10</v>
      </c>
      <c r="C14" s="41">
        <v>32</v>
      </c>
      <c r="D14" s="38">
        <f>411/60</f>
        <v>6.85</v>
      </c>
      <c r="E14" s="25">
        <v>9</v>
      </c>
      <c r="F14" s="24">
        <v>6.44</v>
      </c>
      <c r="G14" s="25">
        <v>0.89</v>
      </c>
      <c r="H14" s="44">
        <v>0.89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50" x14ac:dyDescent="0.5">
      <c r="A15" s="17" t="s">
        <v>12</v>
      </c>
      <c r="B15" s="18" t="s">
        <v>8</v>
      </c>
      <c r="C15" s="39">
        <v>4</v>
      </c>
      <c r="D15" s="36">
        <f>594/60</f>
        <v>9.9</v>
      </c>
      <c r="E15" s="20">
        <v>5.23</v>
      </c>
      <c r="F15" s="19">
        <v>0.45</v>
      </c>
      <c r="G15" s="20">
        <v>0.85</v>
      </c>
      <c r="H15" s="42">
        <v>0.85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Y15" s="8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</row>
    <row r="16" spans="1:50" x14ac:dyDescent="0.5">
      <c r="A16" s="21" t="s">
        <v>12</v>
      </c>
      <c r="B16" s="13" t="s">
        <v>8</v>
      </c>
      <c r="C16" s="40">
        <v>8</v>
      </c>
      <c r="D16" s="37">
        <f>596/60</f>
        <v>9.9333333333333336</v>
      </c>
      <c r="E16" s="12">
        <v>5.23</v>
      </c>
      <c r="F16" s="15">
        <v>0.42</v>
      </c>
      <c r="G16" s="12">
        <v>0.9</v>
      </c>
      <c r="H16" s="43">
        <v>0.9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Y16" s="8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"/>
      <c r="AU16" s="1"/>
      <c r="AV16" s="1"/>
      <c r="AW16" s="1"/>
      <c r="AX16" s="1"/>
    </row>
    <row r="17" spans="1:50" x14ac:dyDescent="0.5">
      <c r="A17" s="21" t="s">
        <v>12</v>
      </c>
      <c r="B17" s="13" t="s">
        <v>8</v>
      </c>
      <c r="C17" s="40">
        <v>16</v>
      </c>
      <c r="D17" s="37">
        <f>596/60</f>
        <v>9.9333333333333336</v>
      </c>
      <c r="E17" s="12">
        <v>5.25</v>
      </c>
      <c r="F17" s="15">
        <v>0.42</v>
      </c>
      <c r="G17" s="12">
        <v>0.91</v>
      </c>
      <c r="H17" s="43">
        <v>0.91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Y17" s="8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"/>
      <c r="AU17" s="1"/>
      <c r="AV17" s="1"/>
      <c r="AW17" s="1"/>
      <c r="AX17" s="1"/>
    </row>
    <row r="18" spans="1:50" x14ac:dyDescent="0.5">
      <c r="A18" s="21" t="s">
        <v>12</v>
      </c>
      <c r="B18" s="13" t="s">
        <v>8</v>
      </c>
      <c r="C18" s="40">
        <v>32</v>
      </c>
      <c r="D18" s="37">
        <f>595/60</f>
        <v>9.9166666666666661</v>
      </c>
      <c r="E18" s="12">
        <v>5.28</v>
      </c>
      <c r="F18" s="15">
        <v>0.3</v>
      </c>
      <c r="G18" s="12">
        <v>0.91</v>
      </c>
      <c r="H18" s="43">
        <v>0.91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Y18" s="8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"/>
      <c r="AU18" s="1"/>
      <c r="AV18" s="1"/>
      <c r="AW18" s="1"/>
      <c r="AX18" s="1"/>
    </row>
    <row r="19" spans="1:50" x14ac:dyDescent="0.5">
      <c r="A19" s="21" t="s">
        <v>12</v>
      </c>
      <c r="B19" s="14" t="s">
        <v>9</v>
      </c>
      <c r="C19" s="40">
        <v>4</v>
      </c>
      <c r="D19" s="37">
        <f>610/60</f>
        <v>10.166666666666666</v>
      </c>
      <c r="E19" s="12">
        <v>5.36</v>
      </c>
      <c r="F19" s="15">
        <v>0.4</v>
      </c>
      <c r="G19" s="12">
        <v>0.88</v>
      </c>
      <c r="H19" s="43">
        <v>0.88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Y19" s="2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5">
      <c r="A20" s="21" t="s">
        <v>12</v>
      </c>
      <c r="B20" s="14" t="s">
        <v>9</v>
      </c>
      <c r="C20" s="40">
        <v>8</v>
      </c>
      <c r="D20" s="37">
        <f>610/60</f>
        <v>10.166666666666666</v>
      </c>
      <c r="E20" s="12">
        <v>5.37</v>
      </c>
      <c r="F20" s="15">
        <v>0.42</v>
      </c>
      <c r="G20" s="12">
        <v>0.89</v>
      </c>
      <c r="H20" s="43">
        <v>0.89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Y20" s="3"/>
      <c r="Z20" s="5"/>
      <c r="AA20" s="6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5">
      <c r="A21" s="21" t="s">
        <v>12</v>
      </c>
      <c r="B21" s="14" t="s">
        <v>9</v>
      </c>
      <c r="C21" s="40">
        <v>16</v>
      </c>
      <c r="D21" s="37">
        <f>612/60</f>
        <v>10.199999999999999</v>
      </c>
      <c r="E21" s="12">
        <v>5.39</v>
      </c>
      <c r="F21" s="15">
        <v>0.4</v>
      </c>
      <c r="G21" s="12">
        <v>0.9</v>
      </c>
      <c r="H21" s="43">
        <v>0.9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Y21" s="4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5">
      <c r="A22" s="21" t="s">
        <v>12</v>
      </c>
      <c r="B22" s="14" t="s">
        <v>9</v>
      </c>
      <c r="C22" s="40">
        <v>32</v>
      </c>
      <c r="D22" s="37">
        <f>610.7/60</f>
        <v>10.178333333333335</v>
      </c>
      <c r="E22" s="12">
        <v>5.43</v>
      </c>
      <c r="F22" s="15">
        <v>0.37</v>
      </c>
      <c r="G22" s="12">
        <v>0.91</v>
      </c>
      <c r="H22" s="43">
        <v>0.91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Y22" s="2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</row>
    <row r="23" spans="1:50" x14ac:dyDescent="0.5">
      <c r="A23" s="21" t="s">
        <v>12</v>
      </c>
      <c r="B23" s="14" t="s">
        <v>10</v>
      </c>
      <c r="C23" s="40">
        <v>4</v>
      </c>
      <c r="D23" s="37">
        <f>634/60</f>
        <v>10.566666666666666</v>
      </c>
      <c r="E23" s="12">
        <v>5.49</v>
      </c>
      <c r="F23" s="15">
        <v>0.42</v>
      </c>
      <c r="G23" s="12">
        <v>0.9</v>
      </c>
      <c r="H23" s="43">
        <v>0.9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Y23" s="8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</row>
    <row r="24" spans="1:50" x14ac:dyDescent="0.5">
      <c r="A24" s="21" t="s">
        <v>12</v>
      </c>
      <c r="B24" s="14" t="s">
        <v>10</v>
      </c>
      <c r="C24" s="40">
        <v>8</v>
      </c>
      <c r="D24" s="37">
        <f>631/60</f>
        <v>10.516666666666667</v>
      </c>
      <c r="E24" s="12">
        <v>5.5</v>
      </c>
      <c r="F24" s="15">
        <v>0.39</v>
      </c>
      <c r="G24" s="12">
        <v>0.91</v>
      </c>
      <c r="H24" s="43">
        <v>0.91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Y24" s="8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"/>
      <c r="AU24" s="1"/>
      <c r="AV24" s="1"/>
      <c r="AW24" s="1"/>
      <c r="AX24" s="1"/>
    </row>
    <row r="25" spans="1:50" x14ac:dyDescent="0.5">
      <c r="A25" s="21" t="s">
        <v>12</v>
      </c>
      <c r="B25" s="14" t="s">
        <v>10</v>
      </c>
      <c r="C25" s="40">
        <v>16</v>
      </c>
      <c r="D25" s="37">
        <f>631/60</f>
        <v>10.516666666666667</v>
      </c>
      <c r="E25" s="12">
        <v>5.53</v>
      </c>
      <c r="F25" s="15">
        <v>0.37</v>
      </c>
      <c r="G25" s="12">
        <v>0.92</v>
      </c>
      <c r="H25" s="43">
        <v>0.92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Y25" s="8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"/>
      <c r="AU25" s="1"/>
      <c r="AV25" s="1"/>
      <c r="AW25" s="1"/>
      <c r="AX25" s="1"/>
    </row>
    <row r="26" spans="1:50" ht="16.149999999999999" thickBot="1" x14ac:dyDescent="0.55000000000000004">
      <c r="A26" s="22" t="s">
        <v>12</v>
      </c>
      <c r="B26" s="23" t="s">
        <v>10</v>
      </c>
      <c r="C26" s="41">
        <v>32</v>
      </c>
      <c r="D26" s="38">
        <f>626/60</f>
        <v>10.433333333333334</v>
      </c>
      <c r="E26" s="25">
        <v>5.6</v>
      </c>
      <c r="F26" s="24">
        <v>0.36</v>
      </c>
      <c r="G26" s="25">
        <v>0.92</v>
      </c>
      <c r="H26" s="44">
        <v>0.92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Y26" s="8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"/>
      <c r="AU26" s="1"/>
      <c r="AV26" s="1"/>
      <c r="AW26" s="1"/>
      <c r="AX26" s="1"/>
    </row>
    <row r="27" spans="1:50" x14ac:dyDescent="0.5">
      <c r="A27" s="17" t="s">
        <v>13</v>
      </c>
      <c r="B27" s="18" t="s">
        <v>8</v>
      </c>
      <c r="C27" s="39">
        <v>4</v>
      </c>
      <c r="D27" s="48">
        <f>606/60</f>
        <v>10.1</v>
      </c>
      <c r="E27" s="20">
        <v>3.67</v>
      </c>
      <c r="F27" s="19">
        <v>0.43</v>
      </c>
      <c r="G27" s="20">
        <v>0.87</v>
      </c>
      <c r="H27" s="42">
        <v>0.87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50" x14ac:dyDescent="0.5">
      <c r="A28" s="21" t="s">
        <v>13</v>
      </c>
      <c r="B28" s="13" t="s">
        <v>8</v>
      </c>
      <c r="C28" s="40">
        <v>8</v>
      </c>
      <c r="D28" s="49">
        <f>605/60</f>
        <v>10.083333333333334</v>
      </c>
      <c r="E28" s="12">
        <v>3.68</v>
      </c>
      <c r="F28" s="15">
        <v>0.4</v>
      </c>
      <c r="G28" s="12">
        <v>0.9</v>
      </c>
      <c r="H28" s="43">
        <v>0.9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50" x14ac:dyDescent="0.5">
      <c r="A29" s="21" t="s">
        <v>13</v>
      </c>
      <c r="B29" s="13" t="s">
        <v>8</v>
      </c>
      <c r="C29" s="40">
        <v>16</v>
      </c>
      <c r="D29" s="49">
        <f>603/60</f>
        <v>10.050000000000001</v>
      </c>
      <c r="E29" s="12">
        <v>3.69</v>
      </c>
      <c r="F29" s="15">
        <v>0.42</v>
      </c>
      <c r="G29" s="12">
        <v>0.91</v>
      </c>
      <c r="H29" s="43">
        <v>0.91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50" x14ac:dyDescent="0.5">
      <c r="A30" s="21" t="s">
        <v>13</v>
      </c>
      <c r="B30" s="13" t="s">
        <v>8</v>
      </c>
      <c r="C30" s="40">
        <v>32</v>
      </c>
      <c r="D30" s="49">
        <f>605/60</f>
        <v>10.083333333333334</v>
      </c>
      <c r="E30" s="12">
        <v>3.72</v>
      </c>
      <c r="F30" s="15">
        <v>0.39</v>
      </c>
      <c r="G30" s="12">
        <v>0.91</v>
      </c>
      <c r="H30" s="43">
        <v>0.91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50" x14ac:dyDescent="0.5">
      <c r="A31" s="21" t="s">
        <v>13</v>
      </c>
      <c r="B31" s="14" t="s">
        <v>9</v>
      </c>
      <c r="C31" s="40">
        <v>4</v>
      </c>
      <c r="D31" s="49">
        <f>620/60</f>
        <v>10.333333333333334</v>
      </c>
      <c r="E31" s="12">
        <v>3.8</v>
      </c>
      <c r="F31" s="15">
        <v>0.4</v>
      </c>
      <c r="G31" s="12">
        <v>0.87</v>
      </c>
      <c r="H31" s="43">
        <v>0.87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50" x14ac:dyDescent="0.5">
      <c r="A32" s="21" t="s">
        <v>13</v>
      </c>
      <c r="B32" s="14" t="s">
        <v>9</v>
      </c>
      <c r="C32" s="40">
        <v>8</v>
      </c>
      <c r="D32" s="49">
        <f>618/60</f>
        <v>10.3</v>
      </c>
      <c r="E32" s="12">
        <v>3.81</v>
      </c>
      <c r="F32" s="15">
        <v>0.4</v>
      </c>
      <c r="G32" s="12">
        <v>0.9</v>
      </c>
      <c r="H32" s="43">
        <v>0.9</v>
      </c>
    </row>
    <row r="33" spans="1:8" x14ac:dyDescent="0.5">
      <c r="A33" s="21" t="s">
        <v>13</v>
      </c>
      <c r="B33" s="14" t="s">
        <v>9</v>
      </c>
      <c r="C33" s="40">
        <v>16</v>
      </c>
      <c r="D33" s="49">
        <f>618/60</f>
        <v>10.3</v>
      </c>
      <c r="E33" s="12">
        <v>3.83</v>
      </c>
      <c r="F33" s="15">
        <v>0.41</v>
      </c>
      <c r="G33" s="12">
        <v>0.91</v>
      </c>
      <c r="H33" s="43">
        <v>0.91</v>
      </c>
    </row>
    <row r="34" spans="1:8" x14ac:dyDescent="0.5">
      <c r="A34" s="21" t="s">
        <v>13</v>
      </c>
      <c r="B34" s="14" t="s">
        <v>9</v>
      </c>
      <c r="C34" s="40">
        <v>32</v>
      </c>
      <c r="D34" s="49">
        <f>620/60</f>
        <v>10.333333333333334</v>
      </c>
      <c r="E34" s="12">
        <v>3.88</v>
      </c>
      <c r="F34" s="15">
        <v>0.39</v>
      </c>
      <c r="G34" s="12">
        <v>0.91</v>
      </c>
      <c r="H34" s="43">
        <v>0.91</v>
      </c>
    </row>
    <row r="35" spans="1:8" x14ac:dyDescent="0.5">
      <c r="A35" s="21" t="s">
        <v>13</v>
      </c>
      <c r="B35" s="14" t="s">
        <v>10</v>
      </c>
      <c r="C35" s="40">
        <v>4</v>
      </c>
      <c r="D35" s="49">
        <f>634/60</f>
        <v>10.566666666666666</v>
      </c>
      <c r="E35" s="12">
        <v>5.49</v>
      </c>
      <c r="F35" s="15">
        <v>0.42</v>
      </c>
      <c r="G35" s="12">
        <v>0.9</v>
      </c>
      <c r="H35" s="43">
        <v>0.9</v>
      </c>
    </row>
    <row r="36" spans="1:8" x14ac:dyDescent="0.5">
      <c r="A36" s="21" t="s">
        <v>13</v>
      </c>
      <c r="B36" s="14" t="s">
        <v>10</v>
      </c>
      <c r="C36" s="40">
        <v>8</v>
      </c>
      <c r="D36" s="49">
        <f>630/60</f>
        <v>10.5</v>
      </c>
      <c r="E36" s="12">
        <v>5.5</v>
      </c>
      <c r="F36" s="15">
        <v>0.39</v>
      </c>
      <c r="G36" s="12">
        <v>0.92</v>
      </c>
      <c r="H36" s="43">
        <v>0.92</v>
      </c>
    </row>
    <row r="37" spans="1:8" x14ac:dyDescent="0.5">
      <c r="A37" s="21" t="s">
        <v>13</v>
      </c>
      <c r="B37" s="14" t="s">
        <v>10</v>
      </c>
      <c r="C37" s="40">
        <v>16</v>
      </c>
      <c r="D37" s="49">
        <f>631/60</f>
        <v>10.516666666666667</v>
      </c>
      <c r="E37" s="12">
        <v>5.53</v>
      </c>
      <c r="F37" s="15">
        <v>0.37</v>
      </c>
      <c r="G37" s="12">
        <v>0.92</v>
      </c>
      <c r="H37" s="43">
        <v>0.92</v>
      </c>
    </row>
    <row r="38" spans="1:8" ht="16.149999999999999" thickBot="1" x14ac:dyDescent="0.55000000000000004">
      <c r="A38" s="22" t="s">
        <v>13</v>
      </c>
      <c r="B38" s="23" t="s">
        <v>10</v>
      </c>
      <c r="C38" s="41">
        <v>32</v>
      </c>
      <c r="D38" s="88">
        <f>626/60</f>
        <v>10.433333333333334</v>
      </c>
      <c r="E38" s="25">
        <v>5.6</v>
      </c>
      <c r="F38" s="45">
        <v>0.36</v>
      </c>
      <c r="G38" s="46">
        <v>0.92</v>
      </c>
      <c r="H38" s="47">
        <v>0.92</v>
      </c>
    </row>
  </sheetData>
  <conditionalFormatting sqref="D3:D38">
    <cfRule type="cellIs" dxfId="7" priority="3" operator="greaterThan">
      <formula>82.885</formula>
    </cfRule>
  </conditionalFormatting>
  <conditionalFormatting sqref="E3:E38">
    <cfRule type="cellIs" dxfId="6" priority="2" operator="greaterThan">
      <formula>6.52</formula>
    </cfRule>
  </conditionalFormatting>
  <conditionalFormatting sqref="F3:F38">
    <cfRule type="cellIs" dxfId="5" priority="1" operator="greaterThan">
      <formula>0.3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68DA8-77C9-49FB-8185-2CD3BDA8A133}">
  <dimension ref="A1:AJ50"/>
  <sheetViews>
    <sheetView zoomScale="70" zoomScaleNormal="70" workbookViewId="0">
      <pane ySplit="2" topLeftCell="A3" activePane="bottomLeft" state="frozen"/>
      <selection pane="bottomLeft" activeCell="B25" sqref="B25"/>
    </sheetView>
  </sheetViews>
  <sheetFormatPr defaultRowHeight="15.75" x14ac:dyDescent="0.5"/>
  <cols>
    <col min="1" max="1" width="13.75" customWidth="1"/>
    <col min="2" max="2" width="9.875" customWidth="1"/>
    <col min="3" max="3" width="6.25" customWidth="1"/>
    <col min="4" max="8" width="9" style="75"/>
  </cols>
  <sheetData>
    <row r="1" spans="1:36" ht="16.149999999999999" thickBot="1" x14ac:dyDescent="0.55000000000000004">
      <c r="A1" s="31" t="s">
        <v>15</v>
      </c>
      <c r="B1" s="27" t="s">
        <v>0</v>
      </c>
      <c r="C1" s="7" t="s">
        <v>2</v>
      </c>
      <c r="D1" s="51" t="s">
        <v>3</v>
      </c>
      <c r="E1" s="52" t="s">
        <v>11</v>
      </c>
      <c r="F1" s="53" t="s">
        <v>5</v>
      </c>
      <c r="G1" s="52" t="s">
        <v>7</v>
      </c>
      <c r="H1" s="54" t="s">
        <v>6</v>
      </c>
    </row>
    <row r="2" spans="1:36" ht="16.149999999999999" thickBot="1" x14ac:dyDescent="0.55000000000000004">
      <c r="A2" s="26" t="s">
        <v>1</v>
      </c>
      <c r="B2" s="27"/>
      <c r="C2" s="7"/>
      <c r="D2" s="55">
        <v>2.8</v>
      </c>
      <c r="E2" s="56" t="s">
        <v>19</v>
      </c>
      <c r="F2" s="64">
        <v>84.75</v>
      </c>
      <c r="G2" s="56">
        <v>0.56000000000000005</v>
      </c>
      <c r="H2" s="57">
        <v>0.56000000000000005</v>
      </c>
    </row>
    <row r="3" spans="1:36" s="1" customFormat="1" x14ac:dyDescent="0.5">
      <c r="A3" s="17" t="s">
        <v>4</v>
      </c>
      <c r="B3" s="18" t="s">
        <v>8</v>
      </c>
      <c r="C3" s="39">
        <v>4</v>
      </c>
      <c r="D3" s="58">
        <v>3.43</v>
      </c>
      <c r="E3" s="59">
        <v>8.5299999999999994</v>
      </c>
      <c r="F3" s="60">
        <v>1.1399999999999999</v>
      </c>
      <c r="G3" s="59">
        <v>0.62</v>
      </c>
      <c r="H3" s="61">
        <v>0.62</v>
      </c>
    </row>
    <row r="4" spans="1:36" x14ac:dyDescent="0.5">
      <c r="A4" s="21" t="s">
        <v>4</v>
      </c>
      <c r="B4" s="13" t="s">
        <v>8</v>
      </c>
      <c r="C4" s="40">
        <v>8</v>
      </c>
      <c r="D4" s="62">
        <v>3.45</v>
      </c>
      <c r="E4" s="63">
        <v>8.5399999999999991</v>
      </c>
      <c r="F4" s="64">
        <v>0.92</v>
      </c>
      <c r="G4" s="63">
        <v>0.64</v>
      </c>
      <c r="H4" s="65">
        <v>0.64</v>
      </c>
    </row>
    <row r="5" spans="1:36" x14ac:dyDescent="0.5">
      <c r="A5" s="21" t="s">
        <v>4</v>
      </c>
      <c r="B5" s="13" t="s">
        <v>8</v>
      </c>
      <c r="C5" s="40">
        <v>16</v>
      </c>
      <c r="D5" s="62">
        <v>3.47</v>
      </c>
      <c r="E5" s="63">
        <v>8.5399999999999991</v>
      </c>
      <c r="F5" s="64">
        <v>0.77</v>
      </c>
      <c r="G5" s="63">
        <v>0.71</v>
      </c>
      <c r="H5" s="65">
        <v>0.71</v>
      </c>
    </row>
    <row r="6" spans="1:36" x14ac:dyDescent="0.5">
      <c r="A6" s="21" t="s">
        <v>4</v>
      </c>
      <c r="B6" s="13" t="s">
        <v>8</v>
      </c>
      <c r="C6" s="40">
        <v>32</v>
      </c>
      <c r="D6" s="62">
        <v>3.57</v>
      </c>
      <c r="E6" s="63">
        <v>8.5500000000000007</v>
      </c>
      <c r="F6" s="64">
        <v>0.66</v>
      </c>
      <c r="G6" s="63">
        <v>0.75</v>
      </c>
      <c r="H6" s="65">
        <v>0.75</v>
      </c>
    </row>
    <row r="7" spans="1:36" x14ac:dyDescent="0.5">
      <c r="A7" s="21" t="s">
        <v>4</v>
      </c>
      <c r="B7" s="14" t="s">
        <v>9</v>
      </c>
      <c r="C7" s="40">
        <v>4</v>
      </c>
      <c r="D7" s="62">
        <v>3.62</v>
      </c>
      <c r="E7" s="63">
        <v>8.73</v>
      </c>
      <c r="F7" s="64">
        <v>1.1299999999999999</v>
      </c>
      <c r="G7" s="63">
        <v>0.61</v>
      </c>
      <c r="H7" s="65">
        <v>0.61</v>
      </c>
    </row>
    <row r="8" spans="1:36" x14ac:dyDescent="0.5">
      <c r="A8" s="21" t="s">
        <v>4</v>
      </c>
      <c r="B8" s="14" t="s">
        <v>9</v>
      </c>
      <c r="C8" s="40">
        <v>8</v>
      </c>
      <c r="D8" s="62">
        <v>3.62</v>
      </c>
      <c r="E8" s="63">
        <v>8.74</v>
      </c>
      <c r="F8" s="64">
        <v>0.96</v>
      </c>
      <c r="G8" s="63">
        <v>0.65</v>
      </c>
      <c r="H8" s="65">
        <v>0.65</v>
      </c>
    </row>
    <row r="9" spans="1:36" x14ac:dyDescent="0.5">
      <c r="A9" s="21" t="s">
        <v>4</v>
      </c>
      <c r="B9" s="14" t="s">
        <v>9</v>
      </c>
      <c r="C9" s="40">
        <v>16</v>
      </c>
      <c r="D9" s="62">
        <v>3.63</v>
      </c>
      <c r="E9" s="63">
        <v>8.74</v>
      </c>
      <c r="F9" s="64">
        <v>1.01</v>
      </c>
      <c r="G9" s="63">
        <v>0.66</v>
      </c>
      <c r="H9" s="65">
        <v>0.66</v>
      </c>
    </row>
    <row r="10" spans="1:36" x14ac:dyDescent="0.5">
      <c r="A10" s="21" t="s">
        <v>4</v>
      </c>
      <c r="B10" s="14" t="s">
        <v>9</v>
      </c>
      <c r="C10" s="40">
        <v>32</v>
      </c>
      <c r="D10" s="62">
        <v>3.78</v>
      </c>
      <c r="E10" s="63">
        <v>8.7899999999999991</v>
      </c>
      <c r="F10" s="64">
        <v>0.75</v>
      </c>
      <c r="G10" s="63">
        <v>0.73</v>
      </c>
      <c r="H10" s="65">
        <v>0.73</v>
      </c>
    </row>
    <row r="11" spans="1:36" x14ac:dyDescent="0.5">
      <c r="A11" s="21" t="s">
        <v>4</v>
      </c>
      <c r="B11" s="14" t="s">
        <v>10</v>
      </c>
      <c r="C11" s="40">
        <v>4</v>
      </c>
      <c r="D11" s="62">
        <v>3.85</v>
      </c>
      <c r="E11" s="63">
        <v>8.9499999999999993</v>
      </c>
      <c r="F11" s="64">
        <v>0.98</v>
      </c>
      <c r="G11" s="63">
        <v>0.63</v>
      </c>
      <c r="H11" s="65">
        <v>0.63</v>
      </c>
    </row>
    <row r="12" spans="1:36" x14ac:dyDescent="0.5">
      <c r="A12" s="21" t="s">
        <v>4</v>
      </c>
      <c r="B12" s="14" t="s">
        <v>10</v>
      </c>
      <c r="C12" s="40">
        <v>8</v>
      </c>
      <c r="D12" s="62">
        <v>3.85</v>
      </c>
      <c r="E12" s="63">
        <v>8.9499999999999993</v>
      </c>
      <c r="F12" s="64">
        <v>0.88</v>
      </c>
      <c r="G12" s="63">
        <v>0.67</v>
      </c>
      <c r="H12" s="65">
        <v>0.67</v>
      </c>
      <c r="K12" s="3"/>
      <c r="L12" s="5"/>
      <c r="M12" s="6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x14ac:dyDescent="0.5">
      <c r="A13" s="21" t="s">
        <v>4</v>
      </c>
      <c r="B13" s="14" t="s">
        <v>10</v>
      </c>
      <c r="C13" s="40">
        <v>16</v>
      </c>
      <c r="D13" s="62">
        <v>3.88</v>
      </c>
      <c r="E13" s="63">
        <v>8.9700000000000006</v>
      </c>
      <c r="F13" s="64">
        <v>0.71</v>
      </c>
      <c r="G13" s="63">
        <v>0.73</v>
      </c>
      <c r="H13" s="65">
        <v>0.73</v>
      </c>
      <c r="K13" s="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ht="16.149999999999999" thickBot="1" x14ac:dyDescent="0.55000000000000004">
      <c r="A14" s="22" t="s">
        <v>4</v>
      </c>
      <c r="B14" s="23" t="s">
        <v>10</v>
      </c>
      <c r="C14" s="41">
        <v>32</v>
      </c>
      <c r="D14" s="66">
        <v>4.0999999999999996</v>
      </c>
      <c r="E14" s="67">
        <v>9.0299999999999994</v>
      </c>
      <c r="F14" s="68">
        <v>0.61</v>
      </c>
      <c r="G14" s="67">
        <v>0.77</v>
      </c>
      <c r="H14" s="69">
        <v>0.77</v>
      </c>
      <c r="K14" s="2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</row>
    <row r="15" spans="1:36" ht="16.149999999999999" thickBot="1" x14ac:dyDescent="0.55000000000000004">
      <c r="A15" s="90" t="s">
        <v>20</v>
      </c>
      <c r="B15" s="18" t="s">
        <v>8</v>
      </c>
      <c r="C15" s="39">
        <v>4</v>
      </c>
      <c r="D15" s="58">
        <f>261/60</f>
        <v>4.3499999999999996</v>
      </c>
      <c r="E15" s="59">
        <v>8.2100000000000009</v>
      </c>
      <c r="F15" s="60">
        <v>0.77</v>
      </c>
      <c r="G15" s="59">
        <v>0.74</v>
      </c>
      <c r="H15" s="61">
        <v>0.74</v>
      </c>
      <c r="I15" s="77"/>
      <c r="K15" s="2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</row>
    <row r="16" spans="1:36" ht="16.149999999999999" thickBot="1" x14ac:dyDescent="0.55000000000000004">
      <c r="A16" s="90" t="s">
        <v>20</v>
      </c>
      <c r="B16" s="13" t="s">
        <v>8</v>
      </c>
      <c r="C16" s="40">
        <v>8</v>
      </c>
      <c r="D16" s="62">
        <f>302/60</f>
        <v>5.0333333333333332</v>
      </c>
      <c r="E16" s="63">
        <v>8.2200000000000006</v>
      </c>
      <c r="F16" s="64">
        <v>35.200000000000003</v>
      </c>
      <c r="G16" s="63">
        <v>0.81</v>
      </c>
      <c r="H16" s="65">
        <v>0.81</v>
      </c>
      <c r="K16" s="2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</row>
    <row r="17" spans="1:36" ht="16.149999999999999" thickBot="1" x14ac:dyDescent="0.55000000000000004">
      <c r="A17" s="90" t="s">
        <v>20</v>
      </c>
      <c r="B17" s="13" t="s">
        <v>8</v>
      </c>
      <c r="C17" s="40">
        <v>16</v>
      </c>
      <c r="D17" s="62">
        <f>387/60</f>
        <v>6.45</v>
      </c>
      <c r="E17" s="63">
        <v>8.24</v>
      </c>
      <c r="F17" s="64">
        <v>27.12</v>
      </c>
      <c r="G17" s="63">
        <v>0.62</v>
      </c>
      <c r="H17" s="65">
        <v>0.62</v>
      </c>
      <c r="K17" s="2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</row>
    <row r="18" spans="1:36" ht="16.149999999999999" thickBot="1" x14ac:dyDescent="0.55000000000000004">
      <c r="A18" s="90" t="s">
        <v>20</v>
      </c>
      <c r="B18" s="13" t="s">
        <v>8</v>
      </c>
      <c r="C18" s="40">
        <v>32</v>
      </c>
      <c r="D18" s="62">
        <f>556/60</f>
        <v>9.2666666666666675</v>
      </c>
      <c r="E18" s="63">
        <v>8.2899999999999991</v>
      </c>
      <c r="F18" s="64">
        <v>12.05</v>
      </c>
      <c r="G18" s="63">
        <v>0.82</v>
      </c>
      <c r="H18" s="65">
        <v>0.82</v>
      </c>
      <c r="K18" s="2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</row>
    <row r="19" spans="1:36" ht="16.149999999999999" thickBot="1" x14ac:dyDescent="0.55000000000000004">
      <c r="A19" s="90" t="s">
        <v>20</v>
      </c>
      <c r="B19" s="14" t="s">
        <v>9</v>
      </c>
      <c r="C19" s="40">
        <v>4</v>
      </c>
      <c r="D19" s="62">
        <f>300/60</f>
        <v>5</v>
      </c>
      <c r="E19" s="63">
        <v>8.2200000000000006</v>
      </c>
      <c r="F19" s="64">
        <v>16.670000000000002</v>
      </c>
      <c r="G19" s="63">
        <v>0.79</v>
      </c>
      <c r="H19" s="65">
        <v>0.8</v>
      </c>
      <c r="K19" s="2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</row>
    <row r="20" spans="1:36" ht="16.149999999999999" thickBot="1" x14ac:dyDescent="0.55000000000000004">
      <c r="A20" s="90" t="s">
        <v>20</v>
      </c>
      <c r="B20" s="14" t="s">
        <v>9</v>
      </c>
      <c r="C20" s="40">
        <v>8</v>
      </c>
      <c r="D20" s="62">
        <f>363/60</f>
        <v>6.05</v>
      </c>
      <c r="E20" s="63">
        <v>8.23</v>
      </c>
      <c r="F20" s="64">
        <v>67.63</v>
      </c>
      <c r="G20" s="63">
        <v>0.41</v>
      </c>
      <c r="H20" s="65">
        <v>0.41</v>
      </c>
      <c r="K20" s="2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</row>
    <row r="21" spans="1:36" ht="16.149999999999999" thickBot="1" x14ac:dyDescent="0.55000000000000004">
      <c r="A21" s="90" t="s">
        <v>20</v>
      </c>
      <c r="B21" s="14" t="s">
        <v>9</v>
      </c>
      <c r="C21" s="40">
        <v>16</v>
      </c>
      <c r="D21" s="62">
        <f>488/60</f>
        <v>8.1333333333333329</v>
      </c>
      <c r="E21" s="63">
        <v>8.26</v>
      </c>
      <c r="F21" s="64">
        <v>0.87</v>
      </c>
      <c r="G21" s="63">
        <v>0.84</v>
      </c>
      <c r="H21" s="65">
        <v>0.84</v>
      </c>
      <c r="K21" s="2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</row>
    <row r="22" spans="1:36" ht="16.149999999999999" thickBot="1" x14ac:dyDescent="0.55000000000000004">
      <c r="A22" s="90" t="s">
        <v>20</v>
      </c>
      <c r="B22" s="14" t="s">
        <v>9</v>
      </c>
      <c r="C22" s="40">
        <v>32</v>
      </c>
      <c r="D22" s="62">
        <f>740/60</f>
        <v>12.333333333333334</v>
      </c>
      <c r="E22" s="63">
        <v>8.32</v>
      </c>
      <c r="F22" s="64">
        <v>15.52</v>
      </c>
      <c r="G22" s="63">
        <v>0.79</v>
      </c>
      <c r="H22" s="65">
        <v>0.79</v>
      </c>
      <c r="K22" s="2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</row>
    <row r="23" spans="1:36" ht="16.149999999999999" thickBot="1" x14ac:dyDescent="0.55000000000000004">
      <c r="A23" s="90" t="s">
        <v>20</v>
      </c>
      <c r="B23" s="14" t="s">
        <v>10</v>
      </c>
      <c r="C23" s="40">
        <v>4</v>
      </c>
      <c r="D23" s="62">
        <f>342/60</f>
        <v>5.7</v>
      </c>
      <c r="E23" s="63">
        <v>8.2200000000000006</v>
      </c>
      <c r="F23" s="64">
        <v>0.8</v>
      </c>
      <c r="G23" s="63">
        <v>0.76</v>
      </c>
      <c r="H23" s="65">
        <v>0.76</v>
      </c>
      <c r="K23" s="2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</row>
    <row r="24" spans="1:36" ht="16.149999999999999" thickBot="1" x14ac:dyDescent="0.55000000000000004">
      <c r="A24" s="90" t="s">
        <v>20</v>
      </c>
      <c r="B24" s="14" t="s">
        <v>10</v>
      </c>
      <c r="C24" s="40">
        <v>8</v>
      </c>
      <c r="D24" s="62">
        <f>426/60</f>
        <v>7.1</v>
      </c>
      <c r="E24" s="63">
        <v>8.24</v>
      </c>
      <c r="F24" s="64">
        <v>0.73</v>
      </c>
      <c r="G24" s="63">
        <v>0.83</v>
      </c>
      <c r="H24" s="65">
        <v>0.83</v>
      </c>
      <c r="K24" s="2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</row>
    <row r="25" spans="1:36" ht="16.149999999999999" thickBot="1" x14ac:dyDescent="0.55000000000000004">
      <c r="A25" s="90" t="s">
        <v>20</v>
      </c>
      <c r="B25" s="14" t="s">
        <v>10</v>
      </c>
      <c r="C25" s="40">
        <v>16</v>
      </c>
      <c r="D25" s="62">
        <f>595/60</f>
        <v>9.9166666666666661</v>
      </c>
      <c r="E25" s="63">
        <v>8.2799999999999994</v>
      </c>
      <c r="F25" s="64">
        <v>62.4</v>
      </c>
      <c r="G25" s="63">
        <v>0.61</v>
      </c>
      <c r="H25" s="65">
        <v>0.6</v>
      </c>
      <c r="K25" s="2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</row>
    <row r="26" spans="1:36" ht="16.149999999999999" thickBot="1" x14ac:dyDescent="0.55000000000000004">
      <c r="A26" s="90" t="s">
        <v>20</v>
      </c>
      <c r="B26" s="23" t="s">
        <v>10</v>
      </c>
      <c r="C26" s="41">
        <v>32</v>
      </c>
      <c r="D26" s="66">
        <f>902/60</f>
        <v>15.033333333333333</v>
      </c>
      <c r="E26" s="67">
        <v>8.36</v>
      </c>
      <c r="F26" s="68">
        <v>0</v>
      </c>
      <c r="G26" s="67">
        <v>0.25</v>
      </c>
      <c r="H26" s="69">
        <v>0.1</v>
      </c>
      <c r="K26" s="2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</row>
    <row r="27" spans="1:36" x14ac:dyDescent="0.5">
      <c r="A27" s="17" t="s">
        <v>12</v>
      </c>
      <c r="B27" s="18" t="s">
        <v>8</v>
      </c>
      <c r="C27" s="39">
        <v>4</v>
      </c>
      <c r="D27" s="58">
        <f>374/60</f>
        <v>6.2333333333333334</v>
      </c>
      <c r="E27" s="59">
        <v>3.67</v>
      </c>
      <c r="F27" s="60">
        <v>1.26</v>
      </c>
      <c r="G27" s="59">
        <v>0.51</v>
      </c>
      <c r="H27" s="61">
        <v>0.51</v>
      </c>
      <c r="K27" s="8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</row>
    <row r="28" spans="1:36" x14ac:dyDescent="0.5">
      <c r="A28" s="21" t="s">
        <v>12</v>
      </c>
      <c r="B28" s="13" t="s">
        <v>8</v>
      </c>
      <c r="C28" s="40">
        <v>8</v>
      </c>
      <c r="D28" s="62">
        <f>373/60</f>
        <v>6.2166666666666668</v>
      </c>
      <c r="E28" s="63">
        <v>3.68</v>
      </c>
      <c r="F28" s="64">
        <v>1.25</v>
      </c>
      <c r="G28" s="63">
        <v>0.49</v>
      </c>
      <c r="H28" s="65">
        <v>0.49</v>
      </c>
      <c r="K28" s="8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"/>
      <c r="AG28" s="1"/>
      <c r="AH28" s="1"/>
      <c r="AI28" s="1"/>
      <c r="AJ28" s="1"/>
    </row>
    <row r="29" spans="1:36" x14ac:dyDescent="0.5">
      <c r="A29" s="21" t="s">
        <v>12</v>
      </c>
      <c r="B29" s="13" t="s">
        <v>8</v>
      </c>
      <c r="C29" s="40">
        <v>16</v>
      </c>
      <c r="D29" s="62">
        <f>373/60</f>
        <v>6.2166666666666668</v>
      </c>
      <c r="E29" s="63">
        <v>3.69</v>
      </c>
      <c r="F29" s="64">
        <v>1.08</v>
      </c>
      <c r="G29" s="63">
        <v>0.57999999999999996</v>
      </c>
      <c r="H29" s="65">
        <v>0.57999999999999996</v>
      </c>
      <c r="K29" s="8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"/>
      <c r="AG29" s="1"/>
      <c r="AH29" s="1"/>
      <c r="AI29" s="1"/>
      <c r="AJ29" s="1"/>
    </row>
    <row r="30" spans="1:36" x14ac:dyDescent="0.5">
      <c r="A30" s="21" t="s">
        <v>12</v>
      </c>
      <c r="B30" s="13" t="s">
        <v>8</v>
      </c>
      <c r="C30" s="40">
        <v>32</v>
      </c>
      <c r="D30" s="62">
        <f>373/60</f>
        <v>6.2166666666666668</v>
      </c>
      <c r="E30" s="63">
        <v>3.73</v>
      </c>
      <c r="F30" s="64">
        <v>0.87</v>
      </c>
      <c r="G30" s="63">
        <v>0.67</v>
      </c>
      <c r="H30" s="65">
        <v>0.67</v>
      </c>
      <c r="K30" s="8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"/>
      <c r="AG30" s="1"/>
      <c r="AH30" s="1"/>
      <c r="AI30" s="1"/>
      <c r="AJ30" s="1"/>
    </row>
    <row r="31" spans="1:36" x14ac:dyDescent="0.5">
      <c r="A31" s="21" t="s">
        <v>12</v>
      </c>
      <c r="B31" s="14" t="s">
        <v>9</v>
      </c>
      <c r="C31" s="40">
        <v>4</v>
      </c>
      <c r="D31" s="62">
        <f>379/60</f>
        <v>6.3166666666666664</v>
      </c>
      <c r="E31" s="63">
        <v>3.81</v>
      </c>
      <c r="F31" s="64">
        <v>1.35</v>
      </c>
      <c r="G31" s="63">
        <v>0.44</v>
      </c>
      <c r="H31" s="65">
        <v>0.44</v>
      </c>
      <c r="K31" s="2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x14ac:dyDescent="0.5">
      <c r="A32" s="21" t="s">
        <v>12</v>
      </c>
      <c r="B32" s="14" t="s">
        <v>9</v>
      </c>
      <c r="C32" s="40">
        <v>8</v>
      </c>
      <c r="D32" s="62">
        <f>379/60</f>
        <v>6.3166666666666664</v>
      </c>
      <c r="E32" s="63">
        <v>3.81</v>
      </c>
      <c r="F32" s="64">
        <v>1.35</v>
      </c>
      <c r="G32" s="63">
        <v>0.49</v>
      </c>
      <c r="H32" s="65">
        <v>0.49</v>
      </c>
      <c r="K32" s="3"/>
      <c r="L32" s="5"/>
      <c r="M32" s="6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x14ac:dyDescent="0.5">
      <c r="A33" s="21" t="s">
        <v>12</v>
      </c>
      <c r="B33" s="14" t="s">
        <v>9</v>
      </c>
      <c r="C33" s="40">
        <v>16</v>
      </c>
      <c r="D33" s="62">
        <f>379/60</f>
        <v>6.3166666666666664</v>
      </c>
      <c r="E33" s="63">
        <v>3.84</v>
      </c>
      <c r="F33" s="64">
        <v>1.17</v>
      </c>
      <c r="G33" s="63">
        <v>0.55000000000000004</v>
      </c>
      <c r="H33" s="65">
        <v>0.55000000000000004</v>
      </c>
      <c r="K33" s="4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x14ac:dyDescent="0.5">
      <c r="A34" s="21" t="s">
        <v>12</v>
      </c>
      <c r="B34" s="14" t="s">
        <v>9</v>
      </c>
      <c r="C34" s="40">
        <v>32</v>
      </c>
      <c r="D34" s="62">
        <f>379/60</f>
        <v>6.3166666666666664</v>
      </c>
      <c r="E34" s="63">
        <v>3.87</v>
      </c>
      <c r="F34" s="64">
        <v>0.97</v>
      </c>
      <c r="G34" s="63">
        <v>0.63</v>
      </c>
      <c r="H34" s="65">
        <v>0.63</v>
      </c>
      <c r="K34" s="2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</row>
    <row r="35" spans="1:36" x14ac:dyDescent="0.5">
      <c r="A35" s="21" t="s">
        <v>12</v>
      </c>
      <c r="B35" s="14" t="s">
        <v>10</v>
      </c>
      <c r="C35" s="40">
        <v>4</v>
      </c>
      <c r="D35" s="62">
        <f>387/60</f>
        <v>6.45</v>
      </c>
      <c r="E35" s="63">
        <v>3.93</v>
      </c>
      <c r="F35" s="64">
        <v>1.26</v>
      </c>
      <c r="G35" s="63">
        <v>0.52</v>
      </c>
      <c r="H35" s="65">
        <v>0.52</v>
      </c>
      <c r="K35" s="8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</row>
    <row r="36" spans="1:36" x14ac:dyDescent="0.5">
      <c r="A36" s="21" t="s">
        <v>12</v>
      </c>
      <c r="B36" s="14" t="s">
        <v>10</v>
      </c>
      <c r="C36" s="40">
        <v>8</v>
      </c>
      <c r="D36" s="62">
        <f>387/60</f>
        <v>6.45</v>
      </c>
      <c r="E36" s="63">
        <v>3.95</v>
      </c>
      <c r="F36" s="64">
        <v>0.89</v>
      </c>
      <c r="G36" s="63">
        <v>0.66</v>
      </c>
      <c r="H36" s="65">
        <v>0.66</v>
      </c>
      <c r="K36" s="8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"/>
      <c r="AG36" s="1"/>
      <c r="AH36" s="1"/>
      <c r="AI36" s="1"/>
      <c r="AJ36" s="1"/>
    </row>
    <row r="37" spans="1:36" x14ac:dyDescent="0.5">
      <c r="A37" s="21" t="s">
        <v>12</v>
      </c>
      <c r="B37" s="14" t="s">
        <v>10</v>
      </c>
      <c r="C37" s="40">
        <v>16</v>
      </c>
      <c r="D37" s="62">
        <f>388/60</f>
        <v>6.4666666666666668</v>
      </c>
      <c r="E37" s="63">
        <v>3.98</v>
      </c>
      <c r="F37" s="64">
        <v>0.68</v>
      </c>
      <c r="G37" s="63">
        <v>0.74</v>
      </c>
      <c r="H37" s="65">
        <v>0.74</v>
      </c>
      <c r="K37" s="8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"/>
      <c r="AG37" s="1"/>
      <c r="AH37" s="1"/>
      <c r="AI37" s="1"/>
      <c r="AJ37" s="1"/>
    </row>
    <row r="38" spans="1:36" ht="16.149999999999999" thickBot="1" x14ac:dyDescent="0.55000000000000004">
      <c r="A38" s="22" t="s">
        <v>12</v>
      </c>
      <c r="B38" s="23" t="s">
        <v>10</v>
      </c>
      <c r="C38" s="41">
        <v>32</v>
      </c>
      <c r="D38" s="66">
        <f>387/60</f>
        <v>6.45</v>
      </c>
      <c r="E38" s="67">
        <v>4.04</v>
      </c>
      <c r="F38" s="68">
        <v>0.52</v>
      </c>
      <c r="G38" s="67">
        <v>0.81</v>
      </c>
      <c r="H38" s="69">
        <v>0.81</v>
      </c>
      <c r="K38" s="8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"/>
      <c r="AG38" s="1"/>
      <c r="AH38" s="1"/>
      <c r="AI38" s="1"/>
      <c r="AJ38" s="1"/>
    </row>
    <row r="39" spans="1:36" x14ac:dyDescent="0.5">
      <c r="A39" s="17" t="s">
        <v>13</v>
      </c>
      <c r="B39" s="18" t="s">
        <v>8</v>
      </c>
      <c r="C39" s="39">
        <v>4</v>
      </c>
      <c r="D39" s="70">
        <f>380/60</f>
        <v>6.333333333333333</v>
      </c>
      <c r="E39" s="59">
        <v>3.68</v>
      </c>
      <c r="F39" s="60">
        <v>1.49</v>
      </c>
      <c r="G39" s="59">
        <v>0.39</v>
      </c>
      <c r="H39" s="61">
        <v>0.39</v>
      </c>
    </row>
    <row r="40" spans="1:36" x14ac:dyDescent="0.5">
      <c r="A40" s="21" t="s">
        <v>13</v>
      </c>
      <c r="B40" s="13" t="s">
        <v>8</v>
      </c>
      <c r="C40" s="40">
        <v>8</v>
      </c>
      <c r="D40" s="71">
        <f>379/60</f>
        <v>6.3166666666666664</v>
      </c>
      <c r="E40" s="63">
        <v>3.68</v>
      </c>
      <c r="F40" s="64">
        <v>1.31</v>
      </c>
      <c r="G40" s="63">
        <v>0.47</v>
      </c>
      <c r="H40" s="65">
        <v>0.47</v>
      </c>
    </row>
    <row r="41" spans="1:36" x14ac:dyDescent="0.5">
      <c r="A41" s="21" t="s">
        <v>13</v>
      </c>
      <c r="B41" s="13" t="s">
        <v>8</v>
      </c>
      <c r="C41" s="40">
        <v>16</v>
      </c>
      <c r="D41" s="71">
        <f>380/60</f>
        <v>6.333333333333333</v>
      </c>
      <c r="E41" s="63">
        <v>3.7</v>
      </c>
      <c r="F41" s="64">
        <v>1.1399999999999999</v>
      </c>
      <c r="G41" s="63">
        <v>0.55000000000000004</v>
      </c>
      <c r="H41" s="65">
        <v>0.55000000000000004</v>
      </c>
    </row>
    <row r="42" spans="1:36" x14ac:dyDescent="0.5">
      <c r="A42" s="21" t="s">
        <v>13</v>
      </c>
      <c r="B42" s="13" t="s">
        <v>8</v>
      </c>
      <c r="C42" s="40">
        <v>32</v>
      </c>
      <c r="D42" s="71">
        <f>379/60</f>
        <v>6.3166666666666664</v>
      </c>
      <c r="E42" s="63">
        <v>3.73</v>
      </c>
      <c r="F42" s="64">
        <v>0.91</v>
      </c>
      <c r="G42" s="63">
        <v>0.66</v>
      </c>
      <c r="H42" s="65">
        <v>0.66</v>
      </c>
    </row>
    <row r="43" spans="1:36" x14ac:dyDescent="0.5">
      <c r="A43" s="21" t="s">
        <v>13</v>
      </c>
      <c r="B43" s="14" t="s">
        <v>9</v>
      </c>
      <c r="C43" s="40">
        <v>4</v>
      </c>
      <c r="D43" s="71">
        <f>385/60</f>
        <v>6.416666666666667</v>
      </c>
      <c r="E43" s="63">
        <v>3.81</v>
      </c>
      <c r="F43" s="64">
        <v>1.43</v>
      </c>
      <c r="G43" s="63">
        <v>0.41</v>
      </c>
      <c r="H43" s="65">
        <v>0.41</v>
      </c>
    </row>
    <row r="44" spans="1:36" x14ac:dyDescent="0.5">
      <c r="A44" s="21" t="s">
        <v>13</v>
      </c>
      <c r="B44" s="14" t="s">
        <v>9</v>
      </c>
      <c r="C44" s="40">
        <v>8</v>
      </c>
      <c r="D44" s="71">
        <f>386/60</f>
        <v>6.4333333333333336</v>
      </c>
      <c r="E44" s="63">
        <v>3.82</v>
      </c>
      <c r="F44" s="64">
        <v>1.34</v>
      </c>
      <c r="G44" s="63">
        <v>0.49</v>
      </c>
      <c r="H44" s="65">
        <v>0.49</v>
      </c>
    </row>
    <row r="45" spans="1:36" x14ac:dyDescent="0.5">
      <c r="A45" s="21" t="s">
        <v>13</v>
      </c>
      <c r="B45" s="14" t="s">
        <v>9</v>
      </c>
      <c r="C45" s="40">
        <v>16</v>
      </c>
      <c r="D45" s="71">
        <f>385/60</f>
        <v>6.416666666666667</v>
      </c>
      <c r="E45" s="63">
        <v>3.84</v>
      </c>
      <c r="F45" s="64">
        <v>1.19</v>
      </c>
      <c r="G45" s="63">
        <v>0.55000000000000004</v>
      </c>
      <c r="H45" s="65">
        <v>0.55000000000000004</v>
      </c>
    </row>
    <row r="46" spans="1:36" x14ac:dyDescent="0.5">
      <c r="A46" s="21" t="s">
        <v>13</v>
      </c>
      <c r="B46" s="14" t="s">
        <v>9</v>
      </c>
      <c r="C46" s="40">
        <v>32</v>
      </c>
      <c r="D46" s="71">
        <f>384/60</f>
        <v>6.4</v>
      </c>
      <c r="E46" s="63">
        <v>3.88</v>
      </c>
      <c r="F46" s="64">
        <v>0.98</v>
      </c>
      <c r="G46" s="63">
        <v>0.63</v>
      </c>
      <c r="H46" s="65">
        <v>0.63</v>
      </c>
    </row>
    <row r="47" spans="1:36" x14ac:dyDescent="0.5">
      <c r="A47" s="21" t="s">
        <v>13</v>
      </c>
      <c r="B47" s="14" t="s">
        <v>10</v>
      </c>
      <c r="C47" s="40">
        <v>4</v>
      </c>
      <c r="D47" s="71">
        <f>396/60</f>
        <v>6.6</v>
      </c>
      <c r="E47" s="63">
        <v>3.96</v>
      </c>
      <c r="F47" s="64">
        <v>1.25</v>
      </c>
      <c r="G47" s="63">
        <v>0.53</v>
      </c>
      <c r="H47" s="65">
        <v>0.53</v>
      </c>
    </row>
    <row r="48" spans="1:36" x14ac:dyDescent="0.5">
      <c r="A48" s="21" t="s">
        <v>13</v>
      </c>
      <c r="B48" s="14" t="s">
        <v>10</v>
      </c>
      <c r="C48" s="40">
        <v>8</v>
      </c>
      <c r="D48" s="71">
        <f>395/60</f>
        <v>6.583333333333333</v>
      </c>
      <c r="E48" s="63">
        <v>3.95</v>
      </c>
      <c r="F48" s="64">
        <v>0.86</v>
      </c>
      <c r="G48" s="63">
        <v>0.67</v>
      </c>
      <c r="H48" s="65">
        <v>0.67</v>
      </c>
    </row>
    <row r="49" spans="1:8" x14ac:dyDescent="0.5">
      <c r="A49" s="21" t="s">
        <v>13</v>
      </c>
      <c r="B49" s="14" t="s">
        <v>10</v>
      </c>
      <c r="C49" s="40">
        <v>16</v>
      </c>
      <c r="D49" s="71">
        <f>395/60</f>
        <v>6.583333333333333</v>
      </c>
      <c r="E49" s="63">
        <v>3.98</v>
      </c>
      <c r="F49" s="64">
        <v>0.65</v>
      </c>
      <c r="G49" s="63">
        <v>0.75</v>
      </c>
      <c r="H49" s="65">
        <v>0.75</v>
      </c>
    </row>
    <row r="50" spans="1:8" ht="16.149999999999999" thickBot="1" x14ac:dyDescent="0.55000000000000004">
      <c r="A50" s="22" t="s">
        <v>13</v>
      </c>
      <c r="B50" s="23" t="s">
        <v>10</v>
      </c>
      <c r="C50" s="41">
        <v>32</v>
      </c>
      <c r="D50" s="72">
        <f>393/60</f>
        <v>6.55</v>
      </c>
      <c r="E50" s="67">
        <v>4.04</v>
      </c>
      <c r="F50" s="68">
        <v>0.5</v>
      </c>
      <c r="G50" s="73">
        <v>0.81</v>
      </c>
      <c r="H50" s="74">
        <v>0.82</v>
      </c>
    </row>
  </sheetData>
  <conditionalFormatting sqref="D3:D50">
    <cfRule type="cellIs" dxfId="22" priority="2" operator="greaterThan">
      <formula>4</formula>
    </cfRule>
  </conditionalFormatting>
  <conditionalFormatting sqref="E3:E50">
    <cfRule type="cellIs" dxfId="21" priority="7" operator="greaterThan">
      <formula>6.52</formula>
    </cfRule>
  </conditionalFormatting>
  <conditionalFormatting sqref="F2:F50">
    <cfRule type="cellIs" dxfId="20" priority="1" operator="greaterThan">
      <formula>2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30B53-ACDE-479F-BA16-27549A73EEDE}">
  <dimension ref="A1:I186"/>
  <sheetViews>
    <sheetView tabSelected="1" zoomScaleNormal="100" workbookViewId="0">
      <selection sqref="A1:XFD1048576"/>
    </sheetView>
  </sheetViews>
  <sheetFormatPr defaultRowHeight="15.75" x14ac:dyDescent="0.5"/>
  <cols>
    <col min="1" max="1" width="14.375" customWidth="1"/>
    <col min="3" max="3" width="7.125" customWidth="1"/>
    <col min="9" max="9" width="11.0625" customWidth="1"/>
  </cols>
  <sheetData>
    <row r="1" spans="1:9" x14ac:dyDescent="0.5">
      <c r="A1" s="98"/>
      <c r="B1" s="92" t="s">
        <v>0</v>
      </c>
      <c r="C1" s="93" t="s">
        <v>2</v>
      </c>
      <c r="D1" s="99" t="s">
        <v>3</v>
      </c>
      <c r="E1" s="92" t="s">
        <v>11</v>
      </c>
      <c r="F1" s="99" t="s">
        <v>5</v>
      </c>
      <c r="G1" s="92" t="s">
        <v>7</v>
      </c>
      <c r="H1" s="99" t="s">
        <v>6</v>
      </c>
      <c r="I1" s="93" t="s">
        <v>21</v>
      </c>
    </row>
    <row r="2" spans="1:9" x14ac:dyDescent="0.5">
      <c r="A2" s="91" t="s">
        <v>1</v>
      </c>
      <c r="B2" s="92"/>
      <c r="C2" s="93"/>
      <c r="D2" s="94">
        <v>23.68</v>
      </c>
      <c r="E2" s="95"/>
      <c r="F2" s="94">
        <v>169.5</v>
      </c>
      <c r="G2" s="95">
        <v>0.62</v>
      </c>
      <c r="H2" s="94">
        <v>0.62</v>
      </c>
      <c r="I2" s="97">
        <v>100</v>
      </c>
    </row>
    <row r="3" spans="1:9" x14ac:dyDescent="0.5">
      <c r="A3" s="96" t="s">
        <v>4</v>
      </c>
      <c r="B3" s="13" t="s">
        <v>8</v>
      </c>
      <c r="C3" s="13">
        <v>4</v>
      </c>
      <c r="D3" s="15">
        <v>58.6</v>
      </c>
      <c r="E3" s="12">
        <v>8.6300000000000008</v>
      </c>
      <c r="F3" s="15">
        <v>0.83</v>
      </c>
      <c r="G3" s="12">
        <v>0.93</v>
      </c>
      <c r="H3" s="15">
        <v>0.93</v>
      </c>
      <c r="I3" s="97">
        <v>100</v>
      </c>
    </row>
    <row r="4" spans="1:9" x14ac:dyDescent="0.5">
      <c r="A4" s="96" t="s">
        <v>4</v>
      </c>
      <c r="B4" s="13" t="s">
        <v>8</v>
      </c>
      <c r="C4" s="13">
        <v>8</v>
      </c>
      <c r="D4" s="15">
        <v>58.81</v>
      </c>
      <c r="E4" s="12">
        <v>8.64</v>
      </c>
      <c r="F4" s="15">
        <v>0.44</v>
      </c>
      <c r="G4" s="12">
        <v>0.94</v>
      </c>
      <c r="H4" s="15">
        <v>0.94</v>
      </c>
      <c r="I4" s="97">
        <v>100</v>
      </c>
    </row>
    <row r="5" spans="1:9" x14ac:dyDescent="0.5">
      <c r="A5" s="96" t="s">
        <v>4</v>
      </c>
      <c r="B5" s="13" t="s">
        <v>8</v>
      </c>
      <c r="C5" s="13">
        <v>16</v>
      </c>
      <c r="D5" s="15">
        <v>59.07</v>
      </c>
      <c r="E5" s="12">
        <v>8.65</v>
      </c>
      <c r="F5" s="15">
        <v>0.28999999999999998</v>
      </c>
      <c r="G5" s="12">
        <v>0.94</v>
      </c>
      <c r="H5" s="15">
        <v>0.94</v>
      </c>
      <c r="I5" s="97">
        <v>100</v>
      </c>
    </row>
    <row r="6" spans="1:9" x14ac:dyDescent="0.5">
      <c r="A6" s="96" t="s">
        <v>4</v>
      </c>
      <c r="B6" s="13" t="s">
        <v>8</v>
      </c>
      <c r="C6" s="13">
        <v>32</v>
      </c>
      <c r="D6" s="15">
        <v>60.92</v>
      </c>
      <c r="E6" s="12">
        <v>8.68</v>
      </c>
      <c r="F6" s="15">
        <v>0.28999999999999998</v>
      </c>
      <c r="G6" s="12">
        <v>0.95</v>
      </c>
      <c r="H6" s="15">
        <v>0.95</v>
      </c>
      <c r="I6" s="97">
        <v>100</v>
      </c>
    </row>
    <row r="7" spans="1:9" x14ac:dyDescent="0.5">
      <c r="A7" s="96" t="s">
        <v>4</v>
      </c>
      <c r="B7" s="14" t="s">
        <v>9</v>
      </c>
      <c r="C7" s="13">
        <v>4</v>
      </c>
      <c r="D7" s="15">
        <v>63.06</v>
      </c>
      <c r="E7" s="12">
        <v>8.81</v>
      </c>
      <c r="F7" s="15">
        <v>1.19</v>
      </c>
      <c r="G7" s="12">
        <v>0.93</v>
      </c>
      <c r="H7" s="15">
        <v>0.93</v>
      </c>
      <c r="I7" s="97">
        <v>100</v>
      </c>
    </row>
    <row r="8" spans="1:9" x14ac:dyDescent="0.5">
      <c r="A8" s="96" t="s">
        <v>4</v>
      </c>
      <c r="B8" s="14" t="s">
        <v>9</v>
      </c>
      <c r="C8" s="13">
        <v>8</v>
      </c>
      <c r="D8" s="15">
        <v>63.11</v>
      </c>
      <c r="E8" s="12">
        <v>8.82</v>
      </c>
      <c r="F8" s="15">
        <v>0.65</v>
      </c>
      <c r="G8" s="12">
        <v>0.94</v>
      </c>
      <c r="H8" s="15">
        <v>0.94</v>
      </c>
      <c r="I8" s="97">
        <v>100</v>
      </c>
    </row>
    <row r="9" spans="1:9" x14ac:dyDescent="0.5">
      <c r="A9" s="96" t="s">
        <v>4</v>
      </c>
      <c r="B9" s="14" t="s">
        <v>9</v>
      </c>
      <c r="C9" s="13">
        <v>16</v>
      </c>
      <c r="D9" s="15">
        <v>63.21</v>
      </c>
      <c r="E9" s="12">
        <v>8.85</v>
      </c>
      <c r="F9" s="15">
        <v>0.82</v>
      </c>
      <c r="G9" s="12">
        <v>0.94</v>
      </c>
      <c r="H9" s="15">
        <v>0.94</v>
      </c>
      <c r="I9" s="97">
        <v>100</v>
      </c>
    </row>
    <row r="10" spans="1:9" x14ac:dyDescent="0.5">
      <c r="A10" s="96" t="s">
        <v>4</v>
      </c>
      <c r="B10" s="14" t="s">
        <v>9</v>
      </c>
      <c r="C10" s="13">
        <v>32</v>
      </c>
      <c r="D10" s="15">
        <v>65.58</v>
      </c>
      <c r="E10" s="12">
        <v>8.8800000000000008</v>
      </c>
      <c r="F10" s="15">
        <v>0.68</v>
      </c>
      <c r="G10" s="12">
        <v>0.94</v>
      </c>
      <c r="H10" s="15">
        <v>0.94</v>
      </c>
      <c r="I10" s="97">
        <v>100</v>
      </c>
    </row>
    <row r="11" spans="1:9" x14ac:dyDescent="0.5">
      <c r="A11" s="96" t="s">
        <v>4</v>
      </c>
      <c r="B11" s="14" t="s">
        <v>10</v>
      </c>
      <c r="C11" s="13">
        <v>4</v>
      </c>
      <c r="D11" s="15">
        <v>69.09</v>
      </c>
      <c r="E11" s="12">
        <v>9.02</v>
      </c>
      <c r="F11" s="15">
        <v>0.28000000000000003</v>
      </c>
      <c r="G11" s="12">
        <v>0.95</v>
      </c>
      <c r="H11" s="15">
        <v>0.95</v>
      </c>
      <c r="I11" s="97">
        <v>100</v>
      </c>
    </row>
    <row r="12" spans="1:9" x14ac:dyDescent="0.5">
      <c r="A12" s="96" t="s">
        <v>4</v>
      </c>
      <c r="B12" s="14" t="s">
        <v>10</v>
      </c>
      <c r="C12" s="13">
        <v>8</v>
      </c>
      <c r="D12" s="15">
        <v>69.06</v>
      </c>
      <c r="E12" s="12">
        <v>9.0299999999999994</v>
      </c>
      <c r="F12" s="15">
        <v>0.27</v>
      </c>
      <c r="G12" s="12">
        <v>0.95</v>
      </c>
      <c r="H12" s="15">
        <v>0.95</v>
      </c>
      <c r="I12" s="97">
        <v>100</v>
      </c>
    </row>
    <row r="13" spans="1:9" x14ac:dyDescent="0.5">
      <c r="A13" s="96" t="s">
        <v>4</v>
      </c>
      <c r="B13" s="14" t="s">
        <v>10</v>
      </c>
      <c r="C13" s="13">
        <v>16</v>
      </c>
      <c r="D13" s="15">
        <v>69.09</v>
      </c>
      <c r="E13" s="12">
        <v>9.06</v>
      </c>
      <c r="F13" s="15">
        <v>0.27</v>
      </c>
      <c r="G13" s="12">
        <v>0.95</v>
      </c>
      <c r="H13" s="15">
        <v>0.95</v>
      </c>
      <c r="I13" s="97">
        <v>100</v>
      </c>
    </row>
    <row r="14" spans="1:9" x14ac:dyDescent="0.5">
      <c r="A14" s="96" t="s">
        <v>4</v>
      </c>
      <c r="B14" s="14" t="s">
        <v>10</v>
      </c>
      <c r="C14" s="13">
        <v>32</v>
      </c>
      <c r="D14" s="15">
        <v>72.27</v>
      </c>
      <c r="E14" s="12">
        <v>9.1300000000000008</v>
      </c>
      <c r="F14" s="15">
        <v>0.26</v>
      </c>
      <c r="G14" s="12">
        <v>0.95</v>
      </c>
      <c r="H14" s="15">
        <v>0.95</v>
      </c>
      <c r="I14" s="97">
        <v>100</v>
      </c>
    </row>
    <row r="15" spans="1:9" x14ac:dyDescent="0.5">
      <c r="A15" s="96" t="s">
        <v>12</v>
      </c>
      <c r="B15" s="13" t="s">
        <v>8</v>
      </c>
      <c r="C15" s="13">
        <v>4</v>
      </c>
      <c r="D15" s="15">
        <v>98.7</v>
      </c>
      <c r="E15" s="12">
        <v>4.97</v>
      </c>
      <c r="F15" s="15">
        <v>0.3</v>
      </c>
      <c r="G15" s="12">
        <v>0.94</v>
      </c>
      <c r="H15" s="15">
        <v>0.94</v>
      </c>
      <c r="I15" s="97">
        <v>100</v>
      </c>
    </row>
    <row r="16" spans="1:9" x14ac:dyDescent="0.5">
      <c r="A16" s="96" t="s">
        <v>12</v>
      </c>
      <c r="B16" s="13" t="s">
        <v>8</v>
      </c>
      <c r="C16" s="13">
        <v>8</v>
      </c>
      <c r="D16" s="15">
        <v>98.68</v>
      </c>
      <c r="E16" s="12">
        <v>5.17</v>
      </c>
      <c r="F16" s="15">
        <v>0.3</v>
      </c>
      <c r="G16" s="12">
        <v>0.94</v>
      </c>
      <c r="H16" s="15">
        <v>0.94</v>
      </c>
      <c r="I16" s="97">
        <v>100</v>
      </c>
    </row>
    <row r="17" spans="1:9" x14ac:dyDescent="0.5">
      <c r="A17" s="96" t="s">
        <v>12</v>
      </c>
      <c r="B17" s="13" t="s">
        <v>8</v>
      </c>
      <c r="C17" s="13">
        <v>16</v>
      </c>
      <c r="D17" s="15">
        <v>98.7</v>
      </c>
      <c r="E17" s="12">
        <v>5.24</v>
      </c>
      <c r="F17" s="15">
        <v>0.39</v>
      </c>
      <c r="G17" s="12">
        <v>0.94</v>
      </c>
      <c r="H17" s="15">
        <v>0.94</v>
      </c>
      <c r="I17" s="97">
        <v>100</v>
      </c>
    </row>
    <row r="18" spans="1:9" x14ac:dyDescent="0.5">
      <c r="A18" s="96" t="s">
        <v>12</v>
      </c>
      <c r="B18" s="13" t="s">
        <v>8</v>
      </c>
      <c r="C18" s="13">
        <v>32</v>
      </c>
      <c r="D18" s="15">
        <v>98.68</v>
      </c>
      <c r="E18" s="12">
        <v>5.2</v>
      </c>
      <c r="F18" s="15">
        <v>0.37</v>
      </c>
      <c r="G18" s="12">
        <v>0.95</v>
      </c>
      <c r="H18" s="15">
        <v>0.95</v>
      </c>
      <c r="I18" s="97">
        <v>100</v>
      </c>
    </row>
    <row r="19" spans="1:9" x14ac:dyDescent="0.5">
      <c r="A19" s="96" t="s">
        <v>12</v>
      </c>
      <c r="B19" s="14" t="s">
        <v>9</v>
      </c>
      <c r="C19" s="13">
        <v>4</v>
      </c>
      <c r="D19" s="15">
        <v>101.78</v>
      </c>
      <c r="E19" s="12">
        <v>8.06</v>
      </c>
      <c r="F19" s="15">
        <v>0.28999999999999998</v>
      </c>
      <c r="G19" s="12">
        <v>0.94</v>
      </c>
      <c r="H19" s="15">
        <v>0.94</v>
      </c>
      <c r="I19" s="97">
        <v>100</v>
      </c>
    </row>
    <row r="20" spans="1:9" x14ac:dyDescent="0.5">
      <c r="A20" s="96" t="s">
        <v>12</v>
      </c>
      <c r="B20" s="14" t="s">
        <v>9</v>
      </c>
      <c r="C20" s="13">
        <v>8</v>
      </c>
      <c r="D20" s="15">
        <v>101.62</v>
      </c>
      <c r="E20" s="12">
        <v>3.91</v>
      </c>
      <c r="F20" s="15">
        <v>0.28999999999999998</v>
      </c>
      <c r="G20" s="12">
        <v>0.94</v>
      </c>
      <c r="H20" s="15">
        <v>0.94</v>
      </c>
      <c r="I20" s="97">
        <v>100</v>
      </c>
    </row>
    <row r="21" spans="1:9" x14ac:dyDescent="0.5">
      <c r="A21" s="96" t="s">
        <v>12</v>
      </c>
      <c r="B21" s="14" t="s">
        <v>9</v>
      </c>
      <c r="C21" s="13">
        <v>16</v>
      </c>
      <c r="D21" s="15">
        <v>101.67</v>
      </c>
      <c r="E21" s="12">
        <v>4.1399999999999997</v>
      </c>
      <c r="F21" s="15">
        <v>0.27</v>
      </c>
      <c r="G21" s="12">
        <v>0.95</v>
      </c>
      <c r="H21" s="15">
        <v>0.95</v>
      </c>
      <c r="I21" s="97">
        <v>100</v>
      </c>
    </row>
    <row r="22" spans="1:9" x14ac:dyDescent="0.5">
      <c r="A22" s="96" t="s">
        <v>12</v>
      </c>
      <c r="B22" s="14" t="s">
        <v>9</v>
      </c>
      <c r="C22" s="13">
        <v>32</v>
      </c>
      <c r="D22" s="15">
        <v>101.58</v>
      </c>
      <c r="E22" s="12">
        <v>4.17</v>
      </c>
      <c r="F22" s="15">
        <v>0.26</v>
      </c>
      <c r="G22" s="12">
        <v>0.95</v>
      </c>
      <c r="H22" s="15">
        <v>0.95</v>
      </c>
      <c r="I22" s="97">
        <v>100</v>
      </c>
    </row>
    <row r="23" spans="1:9" x14ac:dyDescent="0.5">
      <c r="A23" s="96" t="s">
        <v>12</v>
      </c>
      <c r="B23" s="14" t="s">
        <v>10</v>
      </c>
      <c r="C23" s="13">
        <v>4</v>
      </c>
      <c r="D23" s="15">
        <v>100.53</v>
      </c>
      <c r="E23" s="12">
        <v>5.16</v>
      </c>
      <c r="F23" s="15">
        <v>0.28999999999999998</v>
      </c>
      <c r="G23" s="12">
        <v>0.95</v>
      </c>
      <c r="H23" s="15">
        <v>0.95</v>
      </c>
      <c r="I23" s="97">
        <v>100</v>
      </c>
    </row>
    <row r="24" spans="1:9" x14ac:dyDescent="0.5">
      <c r="A24" s="96" t="s">
        <v>12</v>
      </c>
      <c r="B24" s="14" t="s">
        <v>10</v>
      </c>
      <c r="C24" s="13">
        <v>8</v>
      </c>
      <c r="D24" s="15">
        <v>105.05</v>
      </c>
      <c r="E24" s="12">
        <v>5.17</v>
      </c>
      <c r="F24" s="15">
        <v>0.27</v>
      </c>
      <c r="G24" s="12">
        <v>0.95</v>
      </c>
      <c r="H24" s="15">
        <v>0.95</v>
      </c>
      <c r="I24" s="97">
        <v>100</v>
      </c>
    </row>
    <row r="25" spans="1:9" x14ac:dyDescent="0.5">
      <c r="A25" s="96" t="s">
        <v>12</v>
      </c>
      <c r="B25" s="14" t="s">
        <v>10</v>
      </c>
      <c r="C25" s="13">
        <v>16</v>
      </c>
      <c r="D25" s="15">
        <v>104.77</v>
      </c>
      <c r="E25" s="12">
        <v>5.25</v>
      </c>
      <c r="F25" s="15">
        <v>0.26</v>
      </c>
      <c r="G25" s="12">
        <v>0.95</v>
      </c>
      <c r="H25" s="15">
        <v>0.95</v>
      </c>
      <c r="I25" s="97">
        <v>100</v>
      </c>
    </row>
    <row r="26" spans="1:9" x14ac:dyDescent="0.5">
      <c r="A26" s="96" t="s">
        <v>12</v>
      </c>
      <c r="B26" s="14" t="s">
        <v>10</v>
      </c>
      <c r="C26" s="13">
        <v>32</v>
      </c>
      <c r="D26" s="15">
        <v>104.57</v>
      </c>
      <c r="E26" s="12">
        <v>4.1399999999999997</v>
      </c>
      <c r="F26" s="15">
        <v>0.25</v>
      </c>
      <c r="G26" s="12">
        <v>0.95</v>
      </c>
      <c r="H26" s="15">
        <v>0.95</v>
      </c>
      <c r="I26" s="97">
        <v>100</v>
      </c>
    </row>
    <row r="27" spans="1:9" x14ac:dyDescent="0.5">
      <c r="A27" s="96" t="s">
        <v>13</v>
      </c>
      <c r="B27" s="13" t="s">
        <v>8</v>
      </c>
      <c r="C27" s="13">
        <v>4</v>
      </c>
      <c r="D27" s="15">
        <v>100.58</v>
      </c>
      <c r="E27" s="12">
        <v>5.28</v>
      </c>
      <c r="F27" s="15">
        <v>0.3</v>
      </c>
      <c r="G27" s="12">
        <v>0.94</v>
      </c>
      <c r="H27" s="15">
        <v>0.94</v>
      </c>
      <c r="I27" s="97">
        <v>100</v>
      </c>
    </row>
    <row r="28" spans="1:9" x14ac:dyDescent="0.5">
      <c r="A28" s="96" t="s">
        <v>13</v>
      </c>
      <c r="B28" s="13" t="s">
        <v>8</v>
      </c>
      <c r="C28" s="13">
        <v>8</v>
      </c>
      <c r="D28" s="15">
        <v>100.63</v>
      </c>
      <c r="E28" s="12">
        <v>5.21</v>
      </c>
      <c r="F28" s="15">
        <v>0.3</v>
      </c>
      <c r="G28" s="12">
        <v>0.94</v>
      </c>
      <c r="H28" s="15">
        <v>0.94</v>
      </c>
      <c r="I28" s="97">
        <v>100</v>
      </c>
    </row>
    <row r="29" spans="1:9" x14ac:dyDescent="0.5">
      <c r="A29" s="96" t="s">
        <v>13</v>
      </c>
      <c r="B29" s="13" t="s">
        <v>8</v>
      </c>
      <c r="C29" s="13">
        <v>16</v>
      </c>
      <c r="D29" s="15">
        <v>100.37</v>
      </c>
      <c r="E29" s="12">
        <v>5.25</v>
      </c>
      <c r="F29" s="15">
        <v>0.38</v>
      </c>
      <c r="G29" s="12">
        <v>0.95</v>
      </c>
      <c r="H29" s="15">
        <v>0.95</v>
      </c>
      <c r="I29" s="97">
        <v>100</v>
      </c>
    </row>
    <row r="30" spans="1:9" x14ac:dyDescent="0.5">
      <c r="A30" s="96" t="s">
        <v>13</v>
      </c>
      <c r="B30" s="13" t="s">
        <v>8</v>
      </c>
      <c r="C30" s="13">
        <v>32</v>
      </c>
      <c r="D30" s="15">
        <v>100.35</v>
      </c>
      <c r="E30" s="12">
        <v>5.24</v>
      </c>
      <c r="F30" s="15">
        <v>0.27</v>
      </c>
      <c r="G30" s="12">
        <v>0.95</v>
      </c>
      <c r="H30" s="15">
        <v>0.95</v>
      </c>
      <c r="I30" s="97">
        <v>100</v>
      </c>
    </row>
    <row r="31" spans="1:9" x14ac:dyDescent="0.5">
      <c r="A31" s="96" t="s">
        <v>13</v>
      </c>
      <c r="B31" s="14" t="s">
        <v>9</v>
      </c>
      <c r="C31" s="13">
        <v>4</v>
      </c>
      <c r="D31" s="15">
        <v>103.63</v>
      </c>
      <c r="E31" s="12">
        <v>7.41</v>
      </c>
      <c r="F31" s="15">
        <v>0.28999999999999998</v>
      </c>
      <c r="G31" s="12">
        <v>0.94</v>
      </c>
      <c r="H31" s="15">
        <v>0.94</v>
      </c>
      <c r="I31" s="97">
        <v>100</v>
      </c>
    </row>
    <row r="32" spans="1:9" x14ac:dyDescent="0.5">
      <c r="A32" s="96" t="s">
        <v>13</v>
      </c>
      <c r="B32" s="14" t="s">
        <v>9</v>
      </c>
      <c r="C32" s="13">
        <v>8</v>
      </c>
      <c r="D32" s="15">
        <v>103.57</v>
      </c>
      <c r="E32" s="12">
        <v>4.16</v>
      </c>
      <c r="F32" s="15">
        <v>0.28999999999999998</v>
      </c>
      <c r="G32" s="12">
        <v>0.94</v>
      </c>
      <c r="H32" s="15">
        <v>0.94</v>
      </c>
      <c r="I32" s="97">
        <v>100</v>
      </c>
    </row>
    <row r="33" spans="1:9" x14ac:dyDescent="0.5">
      <c r="A33" s="96" t="s">
        <v>13</v>
      </c>
      <c r="B33" s="14" t="s">
        <v>9</v>
      </c>
      <c r="C33" s="13">
        <v>16</v>
      </c>
      <c r="D33" s="15">
        <v>100.43</v>
      </c>
      <c r="E33" s="12">
        <v>4.16</v>
      </c>
      <c r="F33" s="15">
        <v>0.27</v>
      </c>
      <c r="G33" s="12">
        <v>0.95</v>
      </c>
      <c r="H33" s="15">
        <v>0.95</v>
      </c>
      <c r="I33" s="97">
        <v>100</v>
      </c>
    </row>
    <row r="34" spans="1:9" x14ac:dyDescent="0.5">
      <c r="A34" s="96" t="s">
        <v>13</v>
      </c>
      <c r="B34" s="14" t="s">
        <v>9</v>
      </c>
      <c r="C34" s="13">
        <v>32</v>
      </c>
      <c r="D34" s="15">
        <v>103.3</v>
      </c>
      <c r="E34" s="12">
        <v>4.18</v>
      </c>
      <c r="F34" s="15">
        <v>0.27</v>
      </c>
      <c r="G34" s="12">
        <v>0.95</v>
      </c>
      <c r="H34" s="15">
        <v>0.95</v>
      </c>
      <c r="I34" s="97">
        <v>100</v>
      </c>
    </row>
    <row r="35" spans="1:9" x14ac:dyDescent="0.5">
      <c r="A35" s="96" t="s">
        <v>13</v>
      </c>
      <c r="B35" s="14" t="s">
        <v>10</v>
      </c>
      <c r="C35" s="13">
        <v>4</v>
      </c>
      <c r="D35" s="15">
        <v>107.17</v>
      </c>
      <c r="E35" s="12">
        <v>5.22</v>
      </c>
      <c r="F35" s="15">
        <v>0.28000000000000003</v>
      </c>
      <c r="G35" s="12">
        <v>0.94</v>
      </c>
      <c r="H35" s="15">
        <v>0.94</v>
      </c>
      <c r="I35" s="97">
        <v>100</v>
      </c>
    </row>
    <row r="36" spans="1:9" x14ac:dyDescent="0.5">
      <c r="A36" s="96" t="s">
        <v>13</v>
      </c>
      <c r="B36" s="14" t="s">
        <v>10</v>
      </c>
      <c r="C36" s="13">
        <v>8</v>
      </c>
      <c r="D36" s="15">
        <v>106.75</v>
      </c>
      <c r="E36" s="12">
        <v>5.27</v>
      </c>
      <c r="F36" s="15">
        <v>0.27</v>
      </c>
      <c r="G36" s="12">
        <v>0.95</v>
      </c>
      <c r="H36" s="15">
        <v>0.95</v>
      </c>
      <c r="I36" s="97">
        <v>100</v>
      </c>
    </row>
    <row r="37" spans="1:9" x14ac:dyDescent="0.5">
      <c r="A37" s="96" t="s">
        <v>13</v>
      </c>
      <c r="B37" s="14" t="s">
        <v>10</v>
      </c>
      <c r="C37" s="13">
        <v>16</v>
      </c>
      <c r="D37" s="15">
        <v>106.63</v>
      </c>
      <c r="E37" s="12">
        <v>5.27</v>
      </c>
      <c r="F37" s="15">
        <v>0.26</v>
      </c>
      <c r="G37" s="12">
        <v>0.95</v>
      </c>
      <c r="H37" s="15">
        <v>0.95</v>
      </c>
      <c r="I37" s="97">
        <v>100</v>
      </c>
    </row>
    <row r="38" spans="1:9" x14ac:dyDescent="0.5">
      <c r="A38" s="96" t="s">
        <v>13</v>
      </c>
      <c r="B38" s="14" t="s">
        <v>10</v>
      </c>
      <c r="C38" s="13">
        <v>32</v>
      </c>
      <c r="D38" s="94">
        <v>106.33</v>
      </c>
      <c r="E38" s="12">
        <v>4.2</v>
      </c>
      <c r="F38" s="94">
        <v>0.25</v>
      </c>
      <c r="G38" s="95">
        <v>0.95</v>
      </c>
      <c r="H38" s="94">
        <v>0.95</v>
      </c>
      <c r="I38" s="97">
        <v>100</v>
      </c>
    </row>
    <row r="39" spans="1:9" x14ac:dyDescent="0.5">
      <c r="A39" s="91" t="s">
        <v>1</v>
      </c>
      <c r="B39" s="92"/>
      <c r="C39" s="93"/>
      <c r="D39" s="15">
        <f>787/60</f>
        <v>13.116666666666667</v>
      </c>
      <c r="E39" s="95"/>
      <c r="F39" s="15">
        <v>175.875</v>
      </c>
      <c r="G39" s="95">
        <v>0.53</v>
      </c>
      <c r="H39" s="94">
        <v>0.53</v>
      </c>
      <c r="I39" s="100">
        <v>50</v>
      </c>
    </row>
    <row r="40" spans="1:9" x14ac:dyDescent="0.5">
      <c r="A40" s="96" t="s">
        <v>4</v>
      </c>
      <c r="B40" s="13" t="s">
        <v>8</v>
      </c>
      <c r="C40" s="13">
        <v>4</v>
      </c>
      <c r="D40" s="15">
        <f>1856/60</f>
        <v>30.933333333333334</v>
      </c>
      <c r="E40" s="12">
        <v>11.4</v>
      </c>
      <c r="F40" s="15">
        <v>1.89</v>
      </c>
      <c r="G40" s="12">
        <v>0.92</v>
      </c>
      <c r="H40" s="15">
        <v>0.92</v>
      </c>
      <c r="I40" s="100">
        <v>50</v>
      </c>
    </row>
    <row r="41" spans="1:9" x14ac:dyDescent="0.5">
      <c r="A41" s="96" t="s">
        <v>4</v>
      </c>
      <c r="B41" s="13" t="s">
        <v>8</v>
      </c>
      <c r="C41" s="13">
        <v>8</v>
      </c>
      <c r="D41" s="15">
        <f>1855/60</f>
        <v>30.916666666666668</v>
      </c>
      <c r="E41" s="12">
        <v>11.41</v>
      </c>
      <c r="F41" s="15">
        <v>1.48</v>
      </c>
      <c r="G41" s="12">
        <v>0.92</v>
      </c>
      <c r="H41" s="15">
        <v>0.92</v>
      </c>
      <c r="I41" s="100">
        <v>50</v>
      </c>
    </row>
    <row r="42" spans="1:9" x14ac:dyDescent="0.5">
      <c r="A42" s="96" t="s">
        <v>4</v>
      </c>
      <c r="B42" s="13" t="s">
        <v>8</v>
      </c>
      <c r="C42" s="13">
        <v>16</v>
      </c>
      <c r="D42" s="15">
        <f>1862/60</f>
        <v>31.033333333333335</v>
      </c>
      <c r="E42" s="12">
        <v>11.42</v>
      </c>
      <c r="F42" s="15">
        <v>0.33</v>
      </c>
      <c r="G42" s="12">
        <v>0.94</v>
      </c>
      <c r="H42" s="15">
        <v>0.94</v>
      </c>
      <c r="I42" s="100">
        <v>50</v>
      </c>
    </row>
    <row r="43" spans="1:9" x14ac:dyDescent="0.5">
      <c r="A43" s="96" t="s">
        <v>4</v>
      </c>
      <c r="B43" s="13" t="s">
        <v>8</v>
      </c>
      <c r="C43" s="13">
        <v>32</v>
      </c>
      <c r="D43" s="15">
        <f>1905/60</f>
        <v>31.75</v>
      </c>
      <c r="E43" s="12">
        <v>11.45</v>
      </c>
      <c r="F43" s="15">
        <v>0.5</v>
      </c>
      <c r="G43" s="12">
        <v>0.94</v>
      </c>
      <c r="H43" s="15">
        <v>0.94</v>
      </c>
      <c r="I43" s="100">
        <v>50</v>
      </c>
    </row>
    <row r="44" spans="1:9" x14ac:dyDescent="0.5">
      <c r="A44" s="96" t="s">
        <v>4</v>
      </c>
      <c r="B44" s="14" t="s">
        <v>9</v>
      </c>
      <c r="C44" s="13">
        <v>4</v>
      </c>
      <c r="D44" s="15">
        <f>1989/60</f>
        <v>33.15</v>
      </c>
      <c r="E44" s="12">
        <v>11.62</v>
      </c>
      <c r="F44" s="15">
        <v>2.92</v>
      </c>
      <c r="G44" s="12">
        <v>0.92</v>
      </c>
      <c r="H44" s="15">
        <v>0.92</v>
      </c>
      <c r="I44" s="100">
        <v>50</v>
      </c>
    </row>
    <row r="45" spans="1:9" x14ac:dyDescent="0.5">
      <c r="A45" s="96" t="s">
        <v>4</v>
      </c>
      <c r="B45" s="14" t="s">
        <v>9</v>
      </c>
      <c r="C45" s="13">
        <v>8</v>
      </c>
      <c r="D45" s="15">
        <f>1987/60</f>
        <v>33.116666666666667</v>
      </c>
      <c r="E45" s="12">
        <v>11.62</v>
      </c>
      <c r="F45" s="15">
        <v>1.9</v>
      </c>
      <c r="G45" s="12">
        <v>0.93</v>
      </c>
      <c r="H45" s="15">
        <v>0.93</v>
      </c>
      <c r="I45" s="100">
        <v>50</v>
      </c>
    </row>
    <row r="46" spans="1:9" x14ac:dyDescent="0.5">
      <c r="A46" s="96" t="s">
        <v>4</v>
      </c>
      <c r="B46" s="14" t="s">
        <v>9</v>
      </c>
      <c r="C46" s="13">
        <v>16</v>
      </c>
      <c r="D46" s="15">
        <f>1996/60</f>
        <v>33.266666666666666</v>
      </c>
      <c r="E46" s="12">
        <v>11.64</v>
      </c>
      <c r="F46" s="15">
        <v>1.17</v>
      </c>
      <c r="G46" s="12">
        <v>0.93</v>
      </c>
      <c r="H46" s="15">
        <v>0.93</v>
      </c>
      <c r="I46" s="100">
        <v>50</v>
      </c>
    </row>
    <row r="47" spans="1:9" x14ac:dyDescent="0.5">
      <c r="A47" s="96" t="s">
        <v>4</v>
      </c>
      <c r="B47" s="14" t="s">
        <v>9</v>
      </c>
      <c r="C47" s="13">
        <v>32</v>
      </c>
      <c r="D47" s="15">
        <f>2049/60</f>
        <v>34.15</v>
      </c>
      <c r="E47" s="12">
        <v>11.68</v>
      </c>
      <c r="F47" s="15">
        <v>1.29</v>
      </c>
      <c r="G47" s="12">
        <v>0.93</v>
      </c>
      <c r="H47" s="15">
        <v>0.93</v>
      </c>
      <c r="I47" s="100">
        <v>50</v>
      </c>
    </row>
    <row r="48" spans="1:9" x14ac:dyDescent="0.5">
      <c r="A48" s="96" t="s">
        <v>4</v>
      </c>
      <c r="B48" s="14" t="s">
        <v>10</v>
      </c>
      <c r="C48" s="13">
        <v>4</v>
      </c>
      <c r="D48" s="15">
        <f>2174/60</f>
        <v>36.233333333333334</v>
      </c>
      <c r="E48" s="12">
        <v>11.83</v>
      </c>
      <c r="F48" s="15">
        <v>0.3</v>
      </c>
      <c r="G48" s="12">
        <v>0.94</v>
      </c>
      <c r="H48" s="15">
        <v>0.94</v>
      </c>
      <c r="I48" s="100">
        <v>50</v>
      </c>
    </row>
    <row r="49" spans="1:9" x14ac:dyDescent="0.5">
      <c r="A49" s="96" t="s">
        <v>4</v>
      </c>
      <c r="B49" s="14" t="s">
        <v>10</v>
      </c>
      <c r="C49" s="13">
        <v>8</v>
      </c>
      <c r="D49" s="15">
        <f>2173/60</f>
        <v>36.216666666666669</v>
      </c>
      <c r="E49" s="12">
        <v>11.85</v>
      </c>
      <c r="F49" s="15">
        <v>0.3</v>
      </c>
      <c r="G49" s="12">
        <v>0.94</v>
      </c>
      <c r="H49" s="15">
        <v>0.94</v>
      </c>
      <c r="I49" s="100">
        <v>50</v>
      </c>
    </row>
    <row r="50" spans="1:9" x14ac:dyDescent="0.5">
      <c r="A50" s="96" t="s">
        <v>4</v>
      </c>
      <c r="B50" s="14" t="s">
        <v>10</v>
      </c>
      <c r="C50" s="13">
        <v>16</v>
      </c>
      <c r="D50" s="15">
        <f>2156/60</f>
        <v>35.93333333333333</v>
      </c>
      <c r="E50" s="12">
        <v>11.68</v>
      </c>
      <c r="F50" s="15">
        <v>0.28999999999999998</v>
      </c>
      <c r="G50" s="12">
        <v>0.94</v>
      </c>
      <c r="H50" s="15">
        <v>0.94</v>
      </c>
      <c r="I50" s="100">
        <v>50</v>
      </c>
    </row>
    <row r="51" spans="1:9" x14ac:dyDescent="0.5">
      <c r="A51" s="96" t="s">
        <v>4</v>
      </c>
      <c r="B51" s="14" t="s">
        <v>10</v>
      </c>
      <c r="C51" s="13">
        <v>32</v>
      </c>
      <c r="D51" s="15">
        <f>2275/60</f>
        <v>37.916666666666664</v>
      </c>
      <c r="E51" s="12">
        <v>11.93</v>
      </c>
      <c r="F51" s="15">
        <v>0.3</v>
      </c>
      <c r="G51" s="12">
        <v>0.94</v>
      </c>
      <c r="H51" s="15">
        <v>0.94</v>
      </c>
      <c r="I51" s="100">
        <v>50</v>
      </c>
    </row>
    <row r="52" spans="1:9" x14ac:dyDescent="0.5">
      <c r="A52" s="96" t="s">
        <v>12</v>
      </c>
      <c r="B52" s="13" t="s">
        <v>8</v>
      </c>
      <c r="C52" s="13">
        <v>4</v>
      </c>
      <c r="D52" s="15">
        <f>3124.55357265472/60</f>
        <v>52.075892877578667</v>
      </c>
      <c r="E52" s="12">
        <v>5.8125</v>
      </c>
      <c r="F52" s="15">
        <v>0.33369538187980602</v>
      </c>
      <c r="G52" s="12">
        <v>0.932894736842105</v>
      </c>
      <c r="H52" s="15">
        <v>0.93279652397289703</v>
      </c>
      <c r="I52" s="100">
        <v>50</v>
      </c>
    </row>
    <row r="53" spans="1:9" x14ac:dyDescent="0.5">
      <c r="A53" s="96" t="s">
        <v>12</v>
      </c>
      <c r="B53" s="13" t="s">
        <v>8</v>
      </c>
      <c r="C53" s="13">
        <v>8</v>
      </c>
      <c r="D53" s="15">
        <f>3118.26414632797/60</f>
        <v>51.971069105466171</v>
      </c>
      <c r="E53" s="12">
        <v>5.28515625</v>
      </c>
      <c r="F53" s="15">
        <v>0.32337653636932301</v>
      </c>
      <c r="G53" s="12">
        <v>0.93434210526315697</v>
      </c>
      <c r="H53" s="15">
        <v>0.93421051267826405</v>
      </c>
      <c r="I53" s="100">
        <v>50</v>
      </c>
    </row>
    <row r="54" spans="1:9" x14ac:dyDescent="0.5">
      <c r="A54" s="96" t="s">
        <v>12</v>
      </c>
      <c r="B54" s="13" t="s">
        <v>8</v>
      </c>
      <c r="C54" s="13">
        <v>16</v>
      </c>
      <c r="D54" s="15">
        <f>3115.79775643348/60</f>
        <v>51.929962607224667</v>
      </c>
      <c r="E54" s="12">
        <v>5.228515625</v>
      </c>
      <c r="F54" s="15">
        <v>0.30791792273521401</v>
      </c>
      <c r="G54" s="12">
        <v>0.93921052631578905</v>
      </c>
      <c r="H54" s="15">
        <v>0.939137056440284</v>
      </c>
      <c r="I54" s="100">
        <v>50</v>
      </c>
    </row>
    <row r="55" spans="1:9" x14ac:dyDescent="0.5">
      <c r="A55" s="96" t="s">
        <v>12</v>
      </c>
      <c r="B55" s="13" t="s">
        <v>8</v>
      </c>
      <c r="C55" s="13">
        <v>32</v>
      </c>
      <c r="D55" s="15">
        <f>3119.02027583122/60</f>
        <v>51.983671263853665</v>
      </c>
      <c r="E55" s="12">
        <v>5.279296875</v>
      </c>
      <c r="F55" s="15">
        <v>0.29212000966071999</v>
      </c>
      <c r="G55" s="12">
        <v>0.94052631578947299</v>
      </c>
      <c r="H55" s="15">
        <v>0.94048522309945504</v>
      </c>
      <c r="I55" s="100">
        <v>50</v>
      </c>
    </row>
    <row r="56" spans="1:9" x14ac:dyDescent="0.5">
      <c r="A56" s="96" t="s">
        <v>12</v>
      </c>
      <c r="B56" s="14" t="s">
        <v>9</v>
      </c>
      <c r="C56" s="13">
        <v>4</v>
      </c>
      <c r="D56" s="15">
        <f>3218.83515405654/60</f>
        <v>53.647252567609002</v>
      </c>
      <c r="E56" s="12">
        <v>5.26953125</v>
      </c>
      <c r="F56" s="15">
        <v>0.329091787338256</v>
      </c>
      <c r="G56" s="12">
        <v>0.93421052631578905</v>
      </c>
      <c r="H56" s="15">
        <v>0.93410263207470201</v>
      </c>
      <c r="I56" s="100">
        <v>50</v>
      </c>
    </row>
    <row r="57" spans="1:9" x14ac:dyDescent="0.5">
      <c r="A57" s="96" t="s">
        <v>12</v>
      </c>
      <c r="B57" s="14" t="s">
        <v>9</v>
      </c>
      <c r="C57" s="13">
        <v>8</v>
      </c>
      <c r="D57" s="15">
        <f>3210.34199547767/60</f>
        <v>53.505699924627834</v>
      </c>
      <c r="E57" s="12">
        <v>5.263671875</v>
      </c>
      <c r="F57" s="15">
        <v>0.30125886201858498</v>
      </c>
      <c r="G57" s="12">
        <v>0.93723684210526303</v>
      </c>
      <c r="H57" s="15">
        <v>0.93713642298945599</v>
      </c>
      <c r="I57" s="100">
        <v>50</v>
      </c>
    </row>
    <row r="58" spans="1:9" x14ac:dyDescent="0.5">
      <c r="A58" s="96" t="s">
        <v>12</v>
      </c>
      <c r="B58" s="14" t="s">
        <v>9</v>
      </c>
      <c r="C58" s="13">
        <v>16</v>
      </c>
      <c r="D58" s="15">
        <f>3202.71737480163/60</f>
        <v>53.378622913360495</v>
      </c>
      <c r="E58" s="12">
        <v>5.259765625</v>
      </c>
      <c r="F58" s="15">
        <v>0.28675341606140098</v>
      </c>
      <c r="G58" s="12">
        <v>0.94131578947368399</v>
      </c>
      <c r="H58" s="15">
        <v>0.94125566291995599</v>
      </c>
      <c r="I58" s="100">
        <v>50</v>
      </c>
    </row>
    <row r="59" spans="1:9" x14ac:dyDescent="0.5">
      <c r="A59" s="96" t="s">
        <v>12</v>
      </c>
      <c r="B59" s="14" t="s">
        <v>9</v>
      </c>
      <c r="C59" s="13">
        <v>32</v>
      </c>
      <c r="D59" s="15">
        <f>3199.11981201171/60</f>
        <v>53.3186635335285</v>
      </c>
      <c r="E59" s="12">
        <v>5.28125</v>
      </c>
      <c r="F59" s="15">
        <v>0.27851298451423601</v>
      </c>
      <c r="G59" s="12">
        <v>0.94381578947368405</v>
      </c>
      <c r="H59" s="15">
        <v>0.94375890886079195</v>
      </c>
      <c r="I59" s="100">
        <v>50</v>
      </c>
    </row>
    <row r="60" spans="1:9" x14ac:dyDescent="0.5">
      <c r="A60" s="96" t="s">
        <v>12</v>
      </c>
      <c r="B60" s="14" t="s">
        <v>10</v>
      </c>
      <c r="C60" s="13">
        <v>4</v>
      </c>
      <c r="D60" s="15">
        <f>3299.00228238105/60</f>
        <v>54.983371373017498</v>
      </c>
      <c r="E60" s="12">
        <v>5.2890625</v>
      </c>
      <c r="F60" s="15">
        <v>0.30350458621978699</v>
      </c>
      <c r="G60" s="12">
        <v>0.93881578947368405</v>
      </c>
      <c r="H60" s="15">
        <v>0.93873156864567797</v>
      </c>
      <c r="I60" s="100">
        <v>50</v>
      </c>
    </row>
    <row r="61" spans="1:9" x14ac:dyDescent="0.5">
      <c r="A61" s="96" t="s">
        <v>12</v>
      </c>
      <c r="B61" s="14" t="s">
        <v>10</v>
      </c>
      <c r="C61" s="13">
        <v>8</v>
      </c>
      <c r="D61" s="15">
        <f>3289.01874613761/60</f>
        <v>54.816979102293502</v>
      </c>
      <c r="E61" s="12">
        <v>5.283203125</v>
      </c>
      <c r="F61" s="15">
        <v>0.305492132902145</v>
      </c>
      <c r="G61" s="12">
        <v>0.93960526315789406</v>
      </c>
      <c r="H61" s="15">
        <v>0.93948926641783104</v>
      </c>
      <c r="I61" s="100">
        <v>50</v>
      </c>
    </row>
    <row r="62" spans="1:9" x14ac:dyDescent="0.5">
      <c r="A62" s="96" t="s">
        <v>12</v>
      </c>
      <c r="B62" s="14" t="s">
        <v>10</v>
      </c>
      <c r="C62" s="13">
        <v>16</v>
      </c>
      <c r="D62" s="15">
        <f>3287.43599438667/60</f>
        <v>54.790599906444498</v>
      </c>
      <c r="E62" s="12">
        <v>5.28515625</v>
      </c>
      <c r="F62" s="15">
        <v>0.28701066970825101</v>
      </c>
      <c r="G62" s="12">
        <v>0.94263157894736804</v>
      </c>
      <c r="H62" s="15">
        <v>0.942548665059457</v>
      </c>
      <c r="I62" s="100">
        <v>50</v>
      </c>
    </row>
    <row r="63" spans="1:9" x14ac:dyDescent="0.5">
      <c r="A63" s="96" t="s">
        <v>12</v>
      </c>
      <c r="B63" s="14" t="s">
        <v>10</v>
      </c>
      <c r="C63" s="13">
        <v>32</v>
      </c>
      <c r="D63" s="15">
        <f>3282.18617987632/60</f>
        <v>54.703102997938664</v>
      </c>
      <c r="E63" s="12">
        <v>5.3359375</v>
      </c>
      <c r="F63" s="15">
        <v>0.27575093507766701</v>
      </c>
      <c r="G63" s="12">
        <v>0.94605263157894703</v>
      </c>
      <c r="H63" s="15">
        <v>0.94600432272025003</v>
      </c>
      <c r="I63" s="100">
        <v>50</v>
      </c>
    </row>
    <row r="64" spans="1:9" x14ac:dyDescent="0.5">
      <c r="A64" s="96" t="s">
        <v>13</v>
      </c>
      <c r="B64" s="13" t="s">
        <v>8</v>
      </c>
      <c r="C64" s="13">
        <v>4</v>
      </c>
      <c r="D64" s="15">
        <f>3168.16577410697/60</f>
        <v>52.802762901782827</v>
      </c>
      <c r="E64" s="12">
        <v>3.787109375</v>
      </c>
      <c r="F64" s="15">
        <v>0.32511559128761203</v>
      </c>
      <c r="G64" s="12">
        <v>0.93488256503573897</v>
      </c>
      <c r="H64" s="15">
        <v>0.93500000000000005</v>
      </c>
      <c r="I64" s="100">
        <v>50</v>
      </c>
    </row>
    <row r="65" spans="1:9" x14ac:dyDescent="0.5">
      <c r="A65" s="96" t="s">
        <v>13</v>
      </c>
      <c r="B65" s="13" t="s">
        <v>8</v>
      </c>
      <c r="C65" s="13">
        <v>8</v>
      </c>
      <c r="D65" s="15">
        <f>3166.91288518905/60</f>
        <v>52.781881419817502</v>
      </c>
      <c r="E65" s="12">
        <v>4.1328125</v>
      </c>
      <c r="F65" s="15">
        <v>0.31703713536262501</v>
      </c>
      <c r="G65" s="12">
        <v>0.93395871593631596</v>
      </c>
      <c r="H65" s="15">
        <v>0.93407894736842101</v>
      </c>
      <c r="I65" s="100">
        <v>50</v>
      </c>
    </row>
    <row r="66" spans="1:9" x14ac:dyDescent="0.5">
      <c r="A66" s="96" t="s">
        <v>13</v>
      </c>
      <c r="B66" s="13" t="s">
        <v>8</v>
      </c>
      <c r="C66" s="13">
        <v>16</v>
      </c>
      <c r="D66" s="15">
        <f>3164.56896948814/60</f>
        <v>52.74281615813566</v>
      </c>
      <c r="E66" s="12">
        <v>4.166015625</v>
      </c>
      <c r="F66" s="15">
        <v>0.30995690822601302</v>
      </c>
      <c r="G66" s="12">
        <v>0.93594386532198803</v>
      </c>
      <c r="H66" s="15">
        <v>0.93605263157894703</v>
      </c>
      <c r="I66" s="100">
        <v>50</v>
      </c>
    </row>
    <row r="67" spans="1:9" x14ac:dyDescent="0.5">
      <c r="A67" s="96" t="s">
        <v>13</v>
      </c>
      <c r="B67" s="13" t="s">
        <v>8</v>
      </c>
      <c r="C67" s="13">
        <v>32</v>
      </c>
      <c r="D67" s="15">
        <f>3163.4332010746/60</f>
        <v>52.723886684576669</v>
      </c>
      <c r="E67" s="12">
        <v>4.185546875</v>
      </c>
      <c r="F67" s="15">
        <v>0.29628902673721302</v>
      </c>
      <c r="G67" s="12">
        <v>0.93861297070806105</v>
      </c>
      <c r="H67" s="15">
        <v>0.93868421052631501</v>
      </c>
      <c r="I67" s="100">
        <v>50</v>
      </c>
    </row>
    <row r="68" spans="1:9" x14ac:dyDescent="0.5">
      <c r="A68" s="96" t="s">
        <v>13</v>
      </c>
      <c r="B68" s="14" t="s">
        <v>9</v>
      </c>
      <c r="C68" s="13">
        <v>4</v>
      </c>
      <c r="D68" s="15">
        <f>3264.63268637657/60</f>
        <v>54.410544772942828</v>
      </c>
      <c r="E68" s="12">
        <v>4.185546875</v>
      </c>
      <c r="F68" s="15">
        <v>0.32490625977516102</v>
      </c>
      <c r="G68" s="12">
        <v>0.933685039382815</v>
      </c>
      <c r="H68" s="15">
        <v>0.93381578947368404</v>
      </c>
      <c r="I68" s="100">
        <v>50</v>
      </c>
    </row>
    <row r="69" spans="1:9" x14ac:dyDescent="0.5">
      <c r="A69" s="96" t="s">
        <v>13</v>
      </c>
      <c r="B69" s="14" t="s">
        <v>9</v>
      </c>
      <c r="C69" s="13">
        <v>8</v>
      </c>
      <c r="D69" s="15">
        <f>3255.92261743545/60</f>
        <v>54.265376957257494</v>
      </c>
      <c r="E69" s="12">
        <v>4.138671875</v>
      </c>
      <c r="F69" s="15">
        <v>0.30930861830711298</v>
      </c>
      <c r="G69" s="12">
        <v>0.93620447258904904</v>
      </c>
      <c r="H69" s="15">
        <v>0.93631578947368399</v>
      </c>
      <c r="I69" s="100">
        <v>50</v>
      </c>
    </row>
    <row r="70" spans="1:9" x14ac:dyDescent="0.5">
      <c r="A70" s="96" t="s">
        <v>13</v>
      </c>
      <c r="B70" s="14" t="s">
        <v>9</v>
      </c>
      <c r="C70" s="13">
        <v>16</v>
      </c>
      <c r="D70" s="15">
        <f>3253.33005475997/60</f>
        <v>54.222167579332833</v>
      </c>
      <c r="E70" s="12">
        <v>4.212890625</v>
      </c>
      <c r="F70" s="15">
        <v>0.29678538441657998</v>
      </c>
      <c r="G70" s="12">
        <v>0.93966384357605204</v>
      </c>
      <c r="H70" s="15">
        <v>0.93973684210526298</v>
      </c>
      <c r="I70" s="100">
        <v>50</v>
      </c>
    </row>
    <row r="71" spans="1:9" x14ac:dyDescent="0.5">
      <c r="A71" s="96" t="s">
        <v>13</v>
      </c>
      <c r="B71" s="14" t="s">
        <v>9</v>
      </c>
      <c r="C71" s="13">
        <v>32</v>
      </c>
      <c r="D71" s="15">
        <f>3248.06685042381/60</f>
        <v>54.134447507063506</v>
      </c>
      <c r="E71" s="12">
        <v>4.171875</v>
      </c>
      <c r="F71" s="15">
        <v>0.29048752784728998</v>
      </c>
      <c r="G71" s="12">
        <v>0.94097595466883999</v>
      </c>
      <c r="H71" s="15">
        <v>0.94105263157894703</v>
      </c>
      <c r="I71" s="100">
        <v>50</v>
      </c>
    </row>
    <row r="72" spans="1:9" x14ac:dyDescent="0.5">
      <c r="A72" s="96" t="s">
        <v>13</v>
      </c>
      <c r="B72" s="14" t="s">
        <v>10</v>
      </c>
      <c r="C72" s="13">
        <v>4</v>
      </c>
      <c r="D72" s="15">
        <f>3343.88071084022/60</f>
        <v>55.731345180670338</v>
      </c>
      <c r="E72" s="12">
        <v>4.216796875</v>
      </c>
      <c r="F72" s="15">
        <v>0.31532588601112299</v>
      </c>
      <c r="G72" s="12">
        <v>0.93592456303614602</v>
      </c>
      <c r="H72" s="15">
        <v>0.93605263157894703</v>
      </c>
      <c r="I72" s="100">
        <v>50</v>
      </c>
    </row>
    <row r="73" spans="1:9" x14ac:dyDescent="0.5">
      <c r="A73" s="96" t="s">
        <v>13</v>
      </c>
      <c r="B73" s="14" t="s">
        <v>10</v>
      </c>
      <c r="C73" s="13">
        <v>8</v>
      </c>
      <c r="D73" s="15">
        <f>3333.3400247097/60</f>
        <v>55.555667078495006</v>
      </c>
      <c r="E73" s="12">
        <v>4.18359375</v>
      </c>
      <c r="F73" s="15">
        <v>0.30692666769027699</v>
      </c>
      <c r="G73" s="12">
        <v>0.93862190074754903</v>
      </c>
      <c r="H73" s="15">
        <v>0.93868421052631501</v>
      </c>
      <c r="I73" s="100">
        <v>50</v>
      </c>
    </row>
    <row r="74" spans="1:9" x14ac:dyDescent="0.5">
      <c r="A74" s="96" t="s">
        <v>13</v>
      </c>
      <c r="B74" s="14" t="s">
        <v>10</v>
      </c>
      <c r="C74" s="13">
        <v>16</v>
      </c>
      <c r="D74" s="15">
        <f>3336.59257221221/60</f>
        <v>55.609876203536835</v>
      </c>
      <c r="E74" s="12">
        <v>4.18359375</v>
      </c>
      <c r="F74" s="15">
        <v>0.29124227166175798</v>
      </c>
      <c r="G74" s="12">
        <v>0.94306815671676703</v>
      </c>
      <c r="H74" s="15">
        <v>0.94315789473684197</v>
      </c>
      <c r="I74" s="100">
        <v>50</v>
      </c>
    </row>
    <row r="75" spans="1:9" x14ac:dyDescent="0.5">
      <c r="A75" s="96" t="s">
        <v>13</v>
      </c>
      <c r="B75" s="14" t="s">
        <v>10</v>
      </c>
      <c r="C75" s="13">
        <v>32</v>
      </c>
      <c r="D75" s="15">
        <f>3337.86999225616/60</f>
        <v>55.631166537602667</v>
      </c>
      <c r="E75" s="12">
        <v>4.189453125</v>
      </c>
      <c r="F75" s="15">
        <v>0.27719417214393599</v>
      </c>
      <c r="G75" s="12">
        <v>0.945059946201808</v>
      </c>
      <c r="H75" s="15">
        <v>0.94513157894736799</v>
      </c>
      <c r="I75" s="100">
        <v>50</v>
      </c>
    </row>
    <row r="76" spans="1:9" x14ac:dyDescent="0.5">
      <c r="A76" s="91" t="s">
        <v>1</v>
      </c>
      <c r="B76" s="92"/>
      <c r="C76" s="93"/>
      <c r="D76" s="15">
        <v>5.85</v>
      </c>
      <c r="E76" s="12"/>
      <c r="F76" s="15">
        <v>1.17</v>
      </c>
      <c r="G76" s="12">
        <v>0.5</v>
      </c>
      <c r="H76" s="15">
        <v>0.5</v>
      </c>
      <c r="I76" s="100">
        <v>10</v>
      </c>
    </row>
    <row r="77" spans="1:9" x14ac:dyDescent="0.5">
      <c r="A77" s="96" t="s">
        <v>4</v>
      </c>
      <c r="B77" s="13" t="s">
        <v>8</v>
      </c>
      <c r="C77" s="13">
        <v>4</v>
      </c>
      <c r="D77" s="15">
        <f>505/60</f>
        <v>8.4166666666666661</v>
      </c>
      <c r="E77" s="12">
        <v>8.51</v>
      </c>
      <c r="F77" s="15">
        <v>0.39</v>
      </c>
      <c r="G77" s="12">
        <v>0.91</v>
      </c>
      <c r="H77" s="15">
        <v>0.91</v>
      </c>
      <c r="I77" s="100">
        <v>10</v>
      </c>
    </row>
    <row r="78" spans="1:9" x14ac:dyDescent="0.5">
      <c r="A78" s="96" t="s">
        <v>4</v>
      </c>
      <c r="B78" s="13" t="s">
        <v>8</v>
      </c>
      <c r="C78" s="13">
        <v>8</v>
      </c>
      <c r="D78" s="15">
        <f>506/60</f>
        <v>8.4333333333333336</v>
      </c>
      <c r="E78" s="12">
        <v>8.5299999999999994</v>
      </c>
      <c r="F78" s="15">
        <v>19.28</v>
      </c>
      <c r="G78" s="12">
        <v>0.9</v>
      </c>
      <c r="H78" s="15">
        <v>0.9</v>
      </c>
      <c r="I78" s="100">
        <v>10</v>
      </c>
    </row>
    <row r="79" spans="1:9" x14ac:dyDescent="0.5">
      <c r="A79" s="96" t="s">
        <v>4</v>
      </c>
      <c r="B79" s="13" t="s">
        <v>8</v>
      </c>
      <c r="C79" s="13">
        <v>16</v>
      </c>
      <c r="D79" s="15">
        <f>507/60</f>
        <v>8.4499999999999993</v>
      </c>
      <c r="E79" s="12">
        <v>8.5399999999999991</v>
      </c>
      <c r="F79" s="15">
        <v>8.09</v>
      </c>
      <c r="G79" s="12">
        <v>0.91</v>
      </c>
      <c r="H79" s="15">
        <v>0.91</v>
      </c>
      <c r="I79" s="100">
        <v>10</v>
      </c>
    </row>
    <row r="80" spans="1:9" x14ac:dyDescent="0.5">
      <c r="A80" s="96" t="s">
        <v>4</v>
      </c>
      <c r="B80" s="13" t="s">
        <v>8</v>
      </c>
      <c r="C80" s="13">
        <v>32</v>
      </c>
      <c r="D80" s="15">
        <f>520/60</f>
        <v>8.6666666666666661</v>
      </c>
      <c r="E80" s="12">
        <v>8.58</v>
      </c>
      <c r="F80" s="15">
        <v>6.22</v>
      </c>
      <c r="G80" s="12">
        <v>0.92</v>
      </c>
      <c r="H80" s="15">
        <v>0.92</v>
      </c>
      <c r="I80" s="100">
        <v>10</v>
      </c>
    </row>
    <row r="81" spans="1:9" x14ac:dyDescent="0.5">
      <c r="A81" s="96" t="s">
        <v>4</v>
      </c>
      <c r="B81" s="14" t="s">
        <v>9</v>
      </c>
      <c r="C81" s="13">
        <v>4</v>
      </c>
      <c r="D81" s="15">
        <f>538/60</f>
        <v>8.9666666666666668</v>
      </c>
      <c r="E81" s="12">
        <v>8.74</v>
      </c>
      <c r="F81" s="15">
        <v>12.7</v>
      </c>
      <c r="G81" s="12">
        <v>0.89</v>
      </c>
      <c r="H81" s="15">
        <v>0.89</v>
      </c>
      <c r="I81" s="100">
        <v>10</v>
      </c>
    </row>
    <row r="82" spans="1:9" x14ac:dyDescent="0.5">
      <c r="A82" s="96" t="s">
        <v>4</v>
      </c>
      <c r="B82" s="14" t="s">
        <v>9</v>
      </c>
      <c r="C82" s="13">
        <v>8</v>
      </c>
      <c r="D82" s="15">
        <f>539/60</f>
        <v>8.9833333333333325</v>
      </c>
      <c r="E82" s="12">
        <v>8.75</v>
      </c>
      <c r="F82" s="15">
        <v>0.37</v>
      </c>
      <c r="G82" s="12">
        <v>0.92</v>
      </c>
      <c r="H82" s="15">
        <v>0.92</v>
      </c>
      <c r="I82" s="100">
        <v>10</v>
      </c>
    </row>
    <row r="83" spans="1:9" x14ac:dyDescent="0.5">
      <c r="A83" s="96" t="s">
        <v>4</v>
      </c>
      <c r="B83" s="14" t="s">
        <v>9</v>
      </c>
      <c r="C83" s="13">
        <v>16</v>
      </c>
      <c r="D83" s="15">
        <f>542/60</f>
        <v>9.0333333333333332</v>
      </c>
      <c r="E83" s="12">
        <v>8.75</v>
      </c>
      <c r="F83" s="15">
        <v>0.38</v>
      </c>
      <c r="G83" s="12">
        <v>0.92</v>
      </c>
      <c r="H83" s="15">
        <v>0.92</v>
      </c>
      <c r="I83" s="100">
        <v>10</v>
      </c>
    </row>
    <row r="84" spans="1:9" x14ac:dyDescent="0.5">
      <c r="A84" s="96" t="s">
        <v>4</v>
      </c>
      <c r="B84" s="14" t="s">
        <v>9</v>
      </c>
      <c r="C84" s="13">
        <v>32</v>
      </c>
      <c r="D84" s="15">
        <f>559/60</f>
        <v>9.3166666666666664</v>
      </c>
      <c r="E84" s="12">
        <v>8.7799999999999994</v>
      </c>
      <c r="F84" s="15">
        <v>0.45</v>
      </c>
      <c r="G84" s="12">
        <v>0.92</v>
      </c>
      <c r="H84" s="15">
        <v>0.92</v>
      </c>
      <c r="I84" s="100">
        <v>10</v>
      </c>
    </row>
    <row r="85" spans="1:9" x14ac:dyDescent="0.5">
      <c r="A85" s="96" t="s">
        <v>4</v>
      </c>
      <c r="B85" s="14" t="s">
        <v>10</v>
      </c>
      <c r="C85" s="13">
        <v>4</v>
      </c>
      <c r="D85" s="15">
        <f>585/60</f>
        <v>9.75</v>
      </c>
      <c r="E85" s="12">
        <v>8.9700000000000006</v>
      </c>
      <c r="F85" s="15">
        <v>0.38</v>
      </c>
      <c r="G85" s="12">
        <v>0.92</v>
      </c>
      <c r="H85" s="15">
        <v>0.92</v>
      </c>
      <c r="I85" s="100">
        <v>10</v>
      </c>
    </row>
    <row r="86" spans="1:9" x14ac:dyDescent="0.5">
      <c r="A86" s="96" t="s">
        <v>4</v>
      </c>
      <c r="B86" s="14" t="s">
        <v>10</v>
      </c>
      <c r="C86" s="13">
        <v>8</v>
      </c>
      <c r="D86" s="15">
        <f>584/60</f>
        <v>9.7333333333333325</v>
      </c>
      <c r="E86" s="12">
        <v>8.9499999999999993</v>
      </c>
      <c r="F86" s="15">
        <v>0.35</v>
      </c>
      <c r="G86" s="12">
        <v>0.93</v>
      </c>
      <c r="H86" s="15">
        <v>0.93</v>
      </c>
      <c r="I86" s="100">
        <v>10</v>
      </c>
    </row>
    <row r="87" spans="1:9" x14ac:dyDescent="0.5">
      <c r="A87" s="96" t="s">
        <v>4</v>
      </c>
      <c r="B87" s="14" t="s">
        <v>10</v>
      </c>
      <c r="C87" s="13">
        <v>16</v>
      </c>
      <c r="D87" s="15">
        <f>586/60</f>
        <v>9.7666666666666675</v>
      </c>
      <c r="E87" s="12">
        <v>9.01</v>
      </c>
      <c r="F87" s="15">
        <v>0.36</v>
      </c>
      <c r="G87" s="12">
        <v>0.93</v>
      </c>
      <c r="H87" s="15">
        <v>0.93</v>
      </c>
      <c r="I87" s="100">
        <v>10</v>
      </c>
    </row>
    <row r="88" spans="1:9" x14ac:dyDescent="0.5">
      <c r="A88" s="96" t="s">
        <v>4</v>
      </c>
      <c r="B88" s="14" t="s">
        <v>10</v>
      </c>
      <c r="C88" s="13">
        <v>32</v>
      </c>
      <c r="D88" s="15">
        <f>615/60</f>
        <v>10.25</v>
      </c>
      <c r="E88" s="12">
        <v>9.0500000000000007</v>
      </c>
      <c r="F88" s="15">
        <v>0.35</v>
      </c>
      <c r="G88" s="12">
        <v>0.93</v>
      </c>
      <c r="H88" s="15">
        <v>0.93</v>
      </c>
      <c r="I88" s="100">
        <v>10</v>
      </c>
    </row>
    <row r="89" spans="1:9" x14ac:dyDescent="0.5">
      <c r="A89" s="96" t="s">
        <v>12</v>
      </c>
      <c r="B89" s="13" t="s">
        <v>8</v>
      </c>
      <c r="C89" s="13">
        <v>4</v>
      </c>
      <c r="D89" s="15">
        <f>881.53566789627/60</f>
        <v>14.6922611316045</v>
      </c>
      <c r="E89" s="12">
        <v>3.6726474761962802</v>
      </c>
      <c r="F89" s="15">
        <v>0.39087691903114302</v>
      </c>
      <c r="G89" s="12">
        <v>0.91096469683522197</v>
      </c>
      <c r="H89" s="15">
        <v>0.91118421052631504</v>
      </c>
      <c r="I89" s="100">
        <v>10</v>
      </c>
    </row>
    <row r="90" spans="1:9" x14ac:dyDescent="0.5">
      <c r="A90" s="96" t="s">
        <v>12</v>
      </c>
      <c r="B90" s="13" t="s">
        <v>8</v>
      </c>
      <c r="C90" s="13">
        <v>8</v>
      </c>
      <c r="D90" s="15">
        <f>880.457821369171/60</f>
        <v>14.674297022819518</v>
      </c>
      <c r="E90" s="12">
        <v>3.6775345802307098</v>
      </c>
      <c r="F90" s="15">
        <v>0.38119295239448497</v>
      </c>
      <c r="G90" s="12">
        <v>0.91538227960978402</v>
      </c>
      <c r="H90" s="15">
        <v>0.915657894736842</v>
      </c>
      <c r="I90" s="100">
        <v>10</v>
      </c>
    </row>
    <row r="91" spans="1:9" x14ac:dyDescent="0.5">
      <c r="A91" s="96" t="s">
        <v>12</v>
      </c>
      <c r="B91" s="13" t="s">
        <v>8</v>
      </c>
      <c r="C91" s="13">
        <v>16</v>
      </c>
      <c r="D91" s="15">
        <f>880.414301395416/60</f>
        <v>14.6735716899236</v>
      </c>
      <c r="E91" s="12">
        <v>3.69346618652343</v>
      </c>
      <c r="F91" s="15">
        <v>0.37610396742820701</v>
      </c>
      <c r="G91" s="12">
        <v>0.91815027852924302</v>
      </c>
      <c r="H91" s="15">
        <v>0.91842105263157803</v>
      </c>
      <c r="I91" s="100">
        <v>10</v>
      </c>
    </row>
    <row r="92" spans="1:9" x14ac:dyDescent="0.5">
      <c r="A92" s="96" t="s">
        <v>12</v>
      </c>
      <c r="B92" s="13" t="s">
        <v>8</v>
      </c>
      <c r="C92" s="13">
        <v>32</v>
      </c>
      <c r="D92" s="15">
        <f>880.201947212219/60</f>
        <v>14.670032453536983</v>
      </c>
      <c r="E92" s="12">
        <v>3.7276153564453098</v>
      </c>
      <c r="F92" s="15">
        <v>0.36471998691558799</v>
      </c>
      <c r="G92" s="12">
        <v>0.92228740930617703</v>
      </c>
      <c r="H92" s="15">
        <v>0.92249999999999999</v>
      </c>
      <c r="I92" s="100">
        <v>10</v>
      </c>
    </row>
    <row r="93" spans="1:9" x14ac:dyDescent="0.5">
      <c r="A93" s="96" t="s">
        <v>12</v>
      </c>
      <c r="B93" s="14" t="s">
        <v>9</v>
      </c>
      <c r="C93" s="13">
        <v>4</v>
      </c>
      <c r="D93" s="15">
        <f>905.843836069107/60</f>
        <v>15.097397267818451</v>
      </c>
      <c r="E93" s="12">
        <v>3.8034501075744598</v>
      </c>
      <c r="F93" s="15">
        <v>0.38283962011337203</v>
      </c>
      <c r="G93" s="12">
        <v>0.91154350539977103</v>
      </c>
      <c r="H93" s="15">
        <v>0.91184210526315701</v>
      </c>
      <c r="I93" s="100">
        <v>10</v>
      </c>
    </row>
    <row r="94" spans="1:9" x14ac:dyDescent="0.5">
      <c r="A94" s="96" t="s">
        <v>12</v>
      </c>
      <c r="B94" s="14" t="s">
        <v>9</v>
      </c>
      <c r="C94" s="13">
        <v>8</v>
      </c>
      <c r="D94" s="15">
        <f>902.017049789428/60</f>
        <v>15.033617496490468</v>
      </c>
      <c r="E94" s="12">
        <v>3.8161735534667902</v>
      </c>
      <c r="F94" s="15">
        <v>0.36370348930358798</v>
      </c>
      <c r="G94" s="12">
        <v>0.92140816065364495</v>
      </c>
      <c r="H94" s="15">
        <v>0.92157894736842105</v>
      </c>
      <c r="I94" s="100">
        <v>10</v>
      </c>
    </row>
    <row r="95" spans="1:9" x14ac:dyDescent="0.5">
      <c r="A95" s="96" t="s">
        <v>12</v>
      </c>
      <c r="B95" s="14" t="s">
        <v>9</v>
      </c>
      <c r="C95" s="13">
        <v>16</v>
      </c>
      <c r="D95" s="15">
        <f>902.558025360107/60</f>
        <v>15.042633756001782</v>
      </c>
      <c r="E95" s="12">
        <v>3.8353691101074201</v>
      </c>
      <c r="F95" s="15">
        <v>0.366378873586654</v>
      </c>
      <c r="G95" s="12">
        <v>0.92455529661472802</v>
      </c>
      <c r="H95" s="15">
        <v>0.92473684210526297</v>
      </c>
      <c r="I95" s="100">
        <v>10</v>
      </c>
    </row>
    <row r="96" spans="1:9" x14ac:dyDescent="0.5">
      <c r="A96" s="96" t="s">
        <v>12</v>
      </c>
      <c r="B96" s="14" t="s">
        <v>9</v>
      </c>
      <c r="C96" s="13">
        <v>32</v>
      </c>
      <c r="D96" s="15">
        <f>902.143099784851/60</f>
        <v>15.035718329747516</v>
      </c>
      <c r="E96" s="12">
        <v>3.8758354187011701</v>
      </c>
      <c r="F96" s="15">
        <v>0.36108326911926197</v>
      </c>
      <c r="G96" s="12">
        <v>0.92577643654451003</v>
      </c>
      <c r="H96" s="15">
        <v>0.92592105263157898</v>
      </c>
      <c r="I96" s="100">
        <v>10</v>
      </c>
    </row>
    <row r="97" spans="1:9" x14ac:dyDescent="0.5">
      <c r="A97" s="96" t="s">
        <v>12</v>
      </c>
      <c r="B97" s="14" t="s">
        <v>10</v>
      </c>
      <c r="C97" s="13">
        <v>4</v>
      </c>
      <c r="D97" s="15">
        <f>931.413363456726/60</f>
        <v>15.523556057612099</v>
      </c>
      <c r="E97" s="12">
        <v>3.9340133666992099</v>
      </c>
      <c r="F97" s="15">
        <v>0.36816722154617298</v>
      </c>
      <c r="G97" s="12">
        <v>0.91871168257630398</v>
      </c>
      <c r="H97" s="15">
        <v>0.91894736842105196</v>
      </c>
      <c r="I97" s="100">
        <v>10</v>
      </c>
    </row>
    <row r="98" spans="1:9" x14ac:dyDescent="0.5">
      <c r="A98" s="96" t="s">
        <v>12</v>
      </c>
      <c r="B98" s="14" t="s">
        <v>10</v>
      </c>
      <c r="C98" s="13">
        <v>8</v>
      </c>
      <c r="D98" s="15">
        <f>919.137803077697/60</f>
        <v>15.318963384628283</v>
      </c>
      <c r="E98" s="12">
        <v>3.95096588134765</v>
      </c>
      <c r="F98" s="15">
        <v>0.385588318109512</v>
      </c>
      <c r="G98" s="12">
        <v>0.92171906178254404</v>
      </c>
      <c r="H98" s="15">
        <v>0.92197368421052595</v>
      </c>
      <c r="I98" s="100">
        <v>10</v>
      </c>
    </row>
    <row r="99" spans="1:9" x14ac:dyDescent="0.5">
      <c r="A99" s="96" t="s">
        <v>12</v>
      </c>
      <c r="B99" s="14" t="s">
        <v>10</v>
      </c>
      <c r="C99" s="13">
        <v>16</v>
      </c>
      <c r="D99" s="15">
        <f>918.249028682708/60</f>
        <v>15.304150478045132</v>
      </c>
      <c r="E99" s="12">
        <v>3.9780960083007799</v>
      </c>
      <c r="F99" s="15">
        <v>0.36773142218589699</v>
      </c>
      <c r="G99" s="12">
        <v>0.92410263302283702</v>
      </c>
      <c r="H99" s="15">
        <v>0.92434210526315697</v>
      </c>
      <c r="I99" s="100">
        <v>10</v>
      </c>
    </row>
    <row r="100" spans="1:9" x14ac:dyDescent="0.5">
      <c r="A100" s="96" t="s">
        <v>12</v>
      </c>
      <c r="B100" s="14" t="s">
        <v>10</v>
      </c>
      <c r="C100" s="13">
        <v>32</v>
      </c>
      <c r="D100" s="15">
        <f>917.486737012863/60</f>
        <v>15.291445616881051</v>
      </c>
      <c r="E100" s="12">
        <v>4.0392532348632804</v>
      </c>
      <c r="F100" s="15">
        <v>0.36827841401100098</v>
      </c>
      <c r="G100" s="12">
        <v>0.92848574467369405</v>
      </c>
      <c r="H100" s="15">
        <v>0.928684210526315</v>
      </c>
      <c r="I100" s="100">
        <v>10</v>
      </c>
    </row>
    <row r="101" spans="1:9" x14ac:dyDescent="0.5">
      <c r="A101" s="96" t="s">
        <v>13</v>
      </c>
      <c r="B101" s="13" t="s">
        <v>8</v>
      </c>
      <c r="C101" s="13">
        <v>4</v>
      </c>
      <c r="D101" s="15">
        <f>888.697790145874/60</f>
        <v>14.811629835764567</v>
      </c>
      <c r="E101" s="12">
        <v>3.6751008033752401</v>
      </c>
      <c r="F101" s="15">
        <v>0.41312918066978399</v>
      </c>
      <c r="G101" s="12">
        <v>0.90493087882761503</v>
      </c>
      <c r="H101" s="15">
        <v>0.90526315789473599</v>
      </c>
      <c r="I101" s="100">
        <v>10</v>
      </c>
    </row>
    <row r="102" spans="1:9" x14ac:dyDescent="0.5">
      <c r="A102" s="96" t="s">
        <v>13</v>
      </c>
      <c r="B102" s="13" t="s">
        <v>8</v>
      </c>
      <c r="C102" s="13">
        <v>8</v>
      </c>
      <c r="D102" s="15">
        <f>886.170692920684/60</f>
        <v>14.769511548678066</v>
      </c>
      <c r="E102" s="12">
        <v>3.68377685546875</v>
      </c>
      <c r="F102" s="15">
        <v>0.37175157666206299</v>
      </c>
      <c r="G102" s="12">
        <v>0.91736600465489204</v>
      </c>
      <c r="H102" s="15">
        <v>0.91763157894736802</v>
      </c>
      <c r="I102" s="100">
        <v>10</v>
      </c>
    </row>
    <row r="103" spans="1:9" x14ac:dyDescent="0.5">
      <c r="A103" s="96" t="s">
        <v>13</v>
      </c>
      <c r="B103" s="13" t="s">
        <v>8</v>
      </c>
      <c r="C103" s="13">
        <v>16</v>
      </c>
      <c r="D103" s="15">
        <f>887.832438707351/60</f>
        <v>14.797207311789183</v>
      </c>
      <c r="E103" s="12">
        <v>3.69999694824218</v>
      </c>
      <c r="F103" s="15">
        <v>0.370620638132095</v>
      </c>
      <c r="G103" s="12">
        <v>0.91799484091299</v>
      </c>
      <c r="H103" s="15">
        <v>0.91828947368420999</v>
      </c>
      <c r="I103" s="100">
        <v>10</v>
      </c>
    </row>
    <row r="104" spans="1:9" x14ac:dyDescent="0.5">
      <c r="A104" s="96" t="s">
        <v>13</v>
      </c>
      <c r="B104" s="13" t="s">
        <v>8</v>
      </c>
      <c r="C104" s="13">
        <v>32</v>
      </c>
      <c r="D104" s="15">
        <f>886.737896680831/60</f>
        <v>14.778964944680517</v>
      </c>
      <c r="E104" s="12">
        <v>3.7283477783203098</v>
      </c>
      <c r="F104" s="15">
        <v>0.35959324240684498</v>
      </c>
      <c r="G104" s="12">
        <v>0.91866771081917797</v>
      </c>
      <c r="H104" s="15">
        <v>0.91894736842105196</v>
      </c>
      <c r="I104" s="100">
        <v>10</v>
      </c>
    </row>
    <row r="105" spans="1:9" x14ac:dyDescent="0.5">
      <c r="A105" s="96" t="s">
        <v>13</v>
      </c>
      <c r="B105" s="14" t="s">
        <v>9</v>
      </c>
      <c r="C105" s="13">
        <v>4</v>
      </c>
      <c r="D105" s="15">
        <f>907.694700717926/60</f>
        <v>15.128245011965435</v>
      </c>
      <c r="E105" s="12">
        <v>3.80874252319335</v>
      </c>
      <c r="F105" s="15">
        <v>0.390222758054733</v>
      </c>
      <c r="G105" s="12">
        <v>0.91362622164336504</v>
      </c>
      <c r="H105" s="15">
        <v>0.91394736842105195</v>
      </c>
      <c r="I105" s="100">
        <v>10</v>
      </c>
    </row>
    <row r="106" spans="1:9" x14ac:dyDescent="0.5">
      <c r="A106" s="96" t="s">
        <v>13</v>
      </c>
      <c r="B106" s="14" t="s">
        <v>9</v>
      </c>
      <c r="C106" s="13">
        <v>8</v>
      </c>
      <c r="D106" s="15">
        <f>908.548324108123/60</f>
        <v>15.142472068468717</v>
      </c>
      <c r="E106" s="12">
        <v>3.8142204284667902</v>
      </c>
      <c r="F106" s="15">
        <v>0.37907910346984802</v>
      </c>
      <c r="G106" s="12">
        <v>0.91709922253523102</v>
      </c>
      <c r="H106" s="15">
        <v>0.91736842105263094</v>
      </c>
      <c r="I106" s="100">
        <v>10</v>
      </c>
    </row>
    <row r="107" spans="1:9" x14ac:dyDescent="0.5">
      <c r="A107" s="96" t="s">
        <v>13</v>
      </c>
      <c r="B107" s="14" t="s">
        <v>9</v>
      </c>
      <c r="C107" s="13">
        <v>16</v>
      </c>
      <c r="D107" s="15">
        <f>909.59468460083/60</f>
        <v>15.159911410013832</v>
      </c>
      <c r="E107" s="12">
        <v>3.8390922546386701</v>
      </c>
      <c r="F107" s="15">
        <v>0.35925802588462802</v>
      </c>
      <c r="G107" s="12">
        <v>0.92068399048137906</v>
      </c>
      <c r="H107" s="15">
        <v>0.92092105263157897</v>
      </c>
      <c r="I107" s="100">
        <v>10</v>
      </c>
    </row>
    <row r="108" spans="1:9" x14ac:dyDescent="0.5">
      <c r="A108" s="96" t="s">
        <v>13</v>
      </c>
      <c r="B108" s="14" t="s">
        <v>9</v>
      </c>
      <c r="C108" s="13">
        <v>32</v>
      </c>
      <c r="D108" s="15">
        <f>905.460471153259/60</f>
        <v>15.091007852554318</v>
      </c>
      <c r="E108" s="12">
        <v>3.8776054382324201</v>
      </c>
      <c r="F108" s="15">
        <v>0.35763856768607999</v>
      </c>
      <c r="G108" s="12">
        <v>0.92356531952347198</v>
      </c>
      <c r="H108" s="15">
        <v>0.92381578947368403</v>
      </c>
      <c r="I108" s="100">
        <v>10</v>
      </c>
    </row>
    <row r="109" spans="1:9" x14ac:dyDescent="0.5">
      <c r="A109" s="96" t="s">
        <v>13</v>
      </c>
      <c r="B109" s="14" t="s">
        <v>10</v>
      </c>
      <c r="C109" s="13">
        <v>4</v>
      </c>
      <c r="D109" s="15">
        <f>935.129879236221/60</f>
        <v>15.585497987270349</v>
      </c>
      <c r="E109" s="12">
        <v>3.9415206909179599</v>
      </c>
      <c r="F109" s="15">
        <v>0.38290780782699502</v>
      </c>
      <c r="G109" s="12">
        <v>0.91804211309943096</v>
      </c>
      <c r="H109" s="15">
        <v>0.91828947368420999</v>
      </c>
      <c r="I109" s="100">
        <v>10</v>
      </c>
    </row>
    <row r="110" spans="1:9" x14ac:dyDescent="0.5">
      <c r="A110" s="96" t="s">
        <v>13</v>
      </c>
      <c r="B110" s="14" t="s">
        <v>10</v>
      </c>
      <c r="C110" s="13">
        <v>8</v>
      </c>
      <c r="D110" s="15">
        <f>944.956450700759/60</f>
        <v>15.749274178345983</v>
      </c>
      <c r="E110" s="12">
        <v>3.9498062133789</v>
      </c>
      <c r="F110" s="15">
        <v>0.38210779428482</v>
      </c>
      <c r="G110" s="12">
        <v>0.92069270858448304</v>
      </c>
      <c r="H110" s="15">
        <v>0.92092105263157897</v>
      </c>
      <c r="I110" s="100">
        <v>10</v>
      </c>
    </row>
    <row r="111" spans="1:9" x14ac:dyDescent="0.5">
      <c r="A111" s="96" t="s">
        <v>13</v>
      </c>
      <c r="B111" s="14" t="s">
        <v>10</v>
      </c>
      <c r="C111" s="13">
        <v>16</v>
      </c>
      <c r="D111" s="15">
        <f>940.619474887847/60</f>
        <v>15.676991248130783</v>
      </c>
      <c r="E111" s="12">
        <v>3.9868850708007799</v>
      </c>
      <c r="F111" s="15">
        <v>0.36972373723983698</v>
      </c>
      <c r="G111" s="12">
        <v>0.92493305549744598</v>
      </c>
      <c r="H111" s="15">
        <v>0.92513157894736797</v>
      </c>
      <c r="I111" s="100">
        <v>10</v>
      </c>
    </row>
    <row r="112" spans="1:9" x14ac:dyDescent="0.5">
      <c r="A112" s="96" t="s">
        <v>13</v>
      </c>
      <c r="B112" s="14" t="s">
        <v>10</v>
      </c>
      <c r="C112" s="13">
        <v>32</v>
      </c>
      <c r="D112" s="15">
        <f>939.13181400299/60</f>
        <v>15.652196900049834</v>
      </c>
      <c r="E112" s="12">
        <v>4.0409011840820304</v>
      </c>
      <c r="F112" s="15">
        <v>0.36449983716010997</v>
      </c>
      <c r="G112" s="12">
        <v>0.92609128274556596</v>
      </c>
      <c r="H112" s="15">
        <v>0.92631578947368398</v>
      </c>
      <c r="I112" s="100">
        <v>10</v>
      </c>
    </row>
    <row r="113" spans="1:9" x14ac:dyDescent="0.5">
      <c r="A113" s="91" t="s">
        <v>1</v>
      </c>
      <c r="B113" s="92"/>
      <c r="C113" s="93"/>
      <c r="D113" s="15">
        <f>218/60</f>
        <v>3.6333333333333333</v>
      </c>
      <c r="E113" s="12"/>
      <c r="F113" s="15">
        <v>263</v>
      </c>
      <c r="G113" s="12">
        <v>0.49</v>
      </c>
      <c r="H113" s="15">
        <v>0.51</v>
      </c>
      <c r="I113" s="100">
        <v>5</v>
      </c>
    </row>
    <row r="114" spans="1:9" x14ac:dyDescent="0.5">
      <c r="A114" s="96" t="s">
        <v>4</v>
      </c>
      <c r="B114" s="13" t="s">
        <v>8</v>
      </c>
      <c r="C114" s="13">
        <v>4</v>
      </c>
      <c r="D114" s="15">
        <f>341/60</f>
        <v>5.6833333333333336</v>
      </c>
      <c r="E114" s="12">
        <v>8.5299999999999994</v>
      </c>
      <c r="F114" s="15">
        <v>35.159999999999997</v>
      </c>
      <c r="G114" s="12">
        <v>0.87</v>
      </c>
      <c r="H114" s="15">
        <v>0.87</v>
      </c>
      <c r="I114" s="100">
        <v>5</v>
      </c>
    </row>
    <row r="115" spans="1:9" x14ac:dyDescent="0.5">
      <c r="A115" s="96" t="s">
        <v>4</v>
      </c>
      <c r="B115" s="13" t="s">
        <v>8</v>
      </c>
      <c r="C115" s="13">
        <v>8</v>
      </c>
      <c r="D115" s="15">
        <f>342/60</f>
        <v>5.7</v>
      </c>
      <c r="E115" s="12">
        <v>8.5399999999999991</v>
      </c>
      <c r="F115" s="15">
        <v>0.48</v>
      </c>
      <c r="G115" s="12">
        <v>0.88</v>
      </c>
      <c r="H115" s="15">
        <v>0.88</v>
      </c>
      <c r="I115" s="100">
        <v>5</v>
      </c>
    </row>
    <row r="116" spans="1:9" x14ac:dyDescent="0.5">
      <c r="A116" s="96" t="s">
        <v>4</v>
      </c>
      <c r="B116" s="13" t="s">
        <v>8</v>
      </c>
      <c r="C116" s="13">
        <v>16</v>
      </c>
      <c r="D116" s="15">
        <f>343/60</f>
        <v>5.7166666666666668</v>
      </c>
      <c r="E116" s="12">
        <v>8.5500000000000007</v>
      </c>
      <c r="F116" s="15">
        <v>21.48</v>
      </c>
      <c r="G116" s="12">
        <v>0.88</v>
      </c>
      <c r="H116" s="15">
        <v>0.88</v>
      </c>
      <c r="I116" s="100">
        <v>5</v>
      </c>
    </row>
    <row r="117" spans="1:9" x14ac:dyDescent="0.5">
      <c r="A117" s="96" t="s">
        <v>4</v>
      </c>
      <c r="B117" s="13" t="s">
        <v>8</v>
      </c>
      <c r="C117" s="13">
        <v>32</v>
      </c>
      <c r="D117" s="15">
        <v>5.8666666666666663</v>
      </c>
      <c r="E117" s="12">
        <v>8.68</v>
      </c>
      <c r="F117" s="15">
        <v>0.49</v>
      </c>
      <c r="G117" s="12">
        <v>0.91</v>
      </c>
      <c r="H117" s="15">
        <v>0.91</v>
      </c>
      <c r="I117" s="100">
        <v>5</v>
      </c>
    </row>
    <row r="118" spans="1:9" x14ac:dyDescent="0.5">
      <c r="A118" s="96" t="s">
        <v>4</v>
      </c>
      <c r="B118" s="14" t="s">
        <v>9</v>
      </c>
      <c r="C118" s="13">
        <v>4</v>
      </c>
      <c r="D118" s="15">
        <f>362/60</f>
        <v>6.0333333333333332</v>
      </c>
      <c r="E118" s="12">
        <v>8.73</v>
      </c>
      <c r="F118" s="15">
        <v>0.39</v>
      </c>
      <c r="G118" s="12">
        <v>0.88</v>
      </c>
      <c r="H118" s="15">
        <v>0.88</v>
      </c>
      <c r="I118" s="100">
        <v>5</v>
      </c>
    </row>
    <row r="119" spans="1:9" x14ac:dyDescent="0.5">
      <c r="A119" s="96" t="s">
        <v>4</v>
      </c>
      <c r="B119" s="14" t="s">
        <v>9</v>
      </c>
      <c r="C119" s="13">
        <v>8</v>
      </c>
      <c r="D119" s="15">
        <f>362/60</f>
        <v>6.0333333333333332</v>
      </c>
      <c r="E119" s="12">
        <v>8.74</v>
      </c>
      <c r="F119" s="15">
        <v>0.36</v>
      </c>
      <c r="G119" s="12">
        <v>0.89</v>
      </c>
      <c r="H119" s="15">
        <v>0.89</v>
      </c>
      <c r="I119" s="100">
        <v>5</v>
      </c>
    </row>
    <row r="120" spans="1:9" x14ac:dyDescent="0.5">
      <c r="A120" s="96" t="s">
        <v>4</v>
      </c>
      <c r="B120" s="14" t="s">
        <v>9</v>
      </c>
      <c r="C120" s="13">
        <v>16</v>
      </c>
      <c r="D120" s="15">
        <f>364/60</f>
        <v>6.0666666666666664</v>
      </c>
      <c r="E120" s="12">
        <v>8.74</v>
      </c>
      <c r="F120" s="15">
        <v>0.38</v>
      </c>
      <c r="G120" s="12">
        <v>0.9</v>
      </c>
      <c r="H120" s="15">
        <v>0.9</v>
      </c>
      <c r="I120" s="100">
        <v>5</v>
      </c>
    </row>
    <row r="121" spans="1:9" x14ac:dyDescent="0.5">
      <c r="A121" s="96" t="s">
        <v>4</v>
      </c>
      <c r="B121" s="14" t="s">
        <v>9</v>
      </c>
      <c r="C121" s="13">
        <v>32</v>
      </c>
      <c r="D121" s="15">
        <v>6.2666666666666666</v>
      </c>
      <c r="E121" s="12">
        <v>8.7899999999999991</v>
      </c>
      <c r="F121" s="15">
        <v>0.38</v>
      </c>
      <c r="G121" s="12">
        <v>0.91</v>
      </c>
      <c r="H121" s="15">
        <v>0.91</v>
      </c>
      <c r="I121" s="100">
        <v>5</v>
      </c>
    </row>
    <row r="122" spans="1:9" x14ac:dyDescent="0.5">
      <c r="A122" s="96" t="s">
        <v>4</v>
      </c>
      <c r="B122" s="14" t="s">
        <v>10</v>
      </c>
      <c r="C122" s="13">
        <v>4</v>
      </c>
      <c r="D122" s="15">
        <f>389/60</f>
        <v>6.4833333333333334</v>
      </c>
      <c r="E122" s="12">
        <v>8.9499999999999993</v>
      </c>
      <c r="F122" s="15">
        <v>34</v>
      </c>
      <c r="G122" s="12">
        <v>0.89</v>
      </c>
      <c r="H122" s="15">
        <v>0.89</v>
      </c>
      <c r="I122" s="100">
        <v>5</v>
      </c>
    </row>
    <row r="123" spans="1:9" x14ac:dyDescent="0.5">
      <c r="A123" s="96" t="s">
        <v>4</v>
      </c>
      <c r="B123" s="14" t="s">
        <v>10</v>
      </c>
      <c r="C123" s="13">
        <v>8</v>
      </c>
      <c r="D123" s="15">
        <f>389/60</f>
        <v>6.4833333333333334</v>
      </c>
      <c r="E123" s="12">
        <v>8.9499999999999993</v>
      </c>
      <c r="F123" s="15">
        <v>26.44</v>
      </c>
      <c r="G123" s="12">
        <v>0.89</v>
      </c>
      <c r="H123" s="15">
        <v>0.89</v>
      </c>
      <c r="I123" s="100">
        <v>5</v>
      </c>
    </row>
    <row r="124" spans="1:9" x14ac:dyDescent="0.5">
      <c r="A124" s="96" t="s">
        <v>4</v>
      </c>
      <c r="B124" s="14" t="s">
        <v>10</v>
      </c>
      <c r="C124" s="13">
        <v>16</v>
      </c>
      <c r="D124" s="15">
        <f>390/60</f>
        <v>6.5</v>
      </c>
      <c r="E124" s="12">
        <v>8.98</v>
      </c>
      <c r="F124" s="15">
        <v>15.57</v>
      </c>
      <c r="G124" s="12">
        <v>0.89</v>
      </c>
      <c r="H124" s="15">
        <v>0.89</v>
      </c>
      <c r="I124" s="100">
        <v>5</v>
      </c>
    </row>
    <row r="125" spans="1:9" x14ac:dyDescent="0.5">
      <c r="A125" s="96" t="s">
        <v>4</v>
      </c>
      <c r="B125" s="14" t="s">
        <v>10</v>
      </c>
      <c r="C125" s="13">
        <v>32</v>
      </c>
      <c r="D125" s="15">
        <f>411/60</f>
        <v>6.85</v>
      </c>
      <c r="E125" s="12">
        <v>9</v>
      </c>
      <c r="F125" s="15">
        <v>6.44</v>
      </c>
      <c r="G125" s="12">
        <v>0.89</v>
      </c>
      <c r="H125" s="15">
        <v>0.89</v>
      </c>
      <c r="I125" s="100">
        <v>5</v>
      </c>
    </row>
    <row r="126" spans="1:9" x14ac:dyDescent="0.5">
      <c r="A126" s="96" t="s">
        <v>12</v>
      </c>
      <c r="B126" s="13" t="s">
        <v>8</v>
      </c>
      <c r="C126" s="13">
        <v>4</v>
      </c>
      <c r="D126" s="15">
        <f>594/60</f>
        <v>9.9</v>
      </c>
      <c r="E126" s="12">
        <v>5.23</v>
      </c>
      <c r="F126" s="15">
        <v>0.45</v>
      </c>
      <c r="G126" s="12">
        <v>0.85</v>
      </c>
      <c r="H126" s="15">
        <v>0.85</v>
      </c>
      <c r="I126" s="100">
        <v>5</v>
      </c>
    </row>
    <row r="127" spans="1:9" x14ac:dyDescent="0.5">
      <c r="A127" s="96" t="s">
        <v>12</v>
      </c>
      <c r="B127" s="13" t="s">
        <v>8</v>
      </c>
      <c r="C127" s="13">
        <v>8</v>
      </c>
      <c r="D127" s="15">
        <f>596/60</f>
        <v>9.9333333333333336</v>
      </c>
      <c r="E127" s="12">
        <v>5.23</v>
      </c>
      <c r="F127" s="15">
        <v>0.42</v>
      </c>
      <c r="G127" s="12">
        <v>0.9</v>
      </c>
      <c r="H127" s="15">
        <v>0.9</v>
      </c>
      <c r="I127" s="100">
        <v>5</v>
      </c>
    </row>
    <row r="128" spans="1:9" x14ac:dyDescent="0.5">
      <c r="A128" s="96" t="s">
        <v>12</v>
      </c>
      <c r="B128" s="13" t="s">
        <v>8</v>
      </c>
      <c r="C128" s="13">
        <v>16</v>
      </c>
      <c r="D128" s="15">
        <f>596/60</f>
        <v>9.9333333333333336</v>
      </c>
      <c r="E128" s="12">
        <v>5.25</v>
      </c>
      <c r="F128" s="15">
        <v>0.42</v>
      </c>
      <c r="G128" s="12">
        <v>0.91</v>
      </c>
      <c r="H128" s="15">
        <v>0.91</v>
      </c>
      <c r="I128" s="100">
        <v>5</v>
      </c>
    </row>
    <row r="129" spans="1:9" x14ac:dyDescent="0.5">
      <c r="A129" s="96" t="s">
        <v>12</v>
      </c>
      <c r="B129" s="13" t="s">
        <v>8</v>
      </c>
      <c r="C129" s="13">
        <v>32</v>
      </c>
      <c r="D129" s="15">
        <f>595/60</f>
        <v>9.9166666666666661</v>
      </c>
      <c r="E129" s="12">
        <v>5.28</v>
      </c>
      <c r="F129" s="15">
        <v>0.3</v>
      </c>
      <c r="G129" s="12">
        <v>0.91</v>
      </c>
      <c r="H129" s="15">
        <v>0.91</v>
      </c>
      <c r="I129" s="100">
        <v>5</v>
      </c>
    </row>
    <row r="130" spans="1:9" x14ac:dyDescent="0.5">
      <c r="A130" s="96" t="s">
        <v>12</v>
      </c>
      <c r="B130" s="14" t="s">
        <v>9</v>
      </c>
      <c r="C130" s="13">
        <v>4</v>
      </c>
      <c r="D130" s="15">
        <f>610/60</f>
        <v>10.166666666666666</v>
      </c>
      <c r="E130" s="12">
        <v>5.36</v>
      </c>
      <c r="F130" s="15">
        <v>0.4</v>
      </c>
      <c r="G130" s="12">
        <v>0.88</v>
      </c>
      <c r="H130" s="15">
        <v>0.88</v>
      </c>
      <c r="I130" s="100">
        <v>5</v>
      </c>
    </row>
    <row r="131" spans="1:9" x14ac:dyDescent="0.5">
      <c r="A131" s="96" t="s">
        <v>12</v>
      </c>
      <c r="B131" s="14" t="s">
        <v>9</v>
      </c>
      <c r="C131" s="13">
        <v>8</v>
      </c>
      <c r="D131" s="15">
        <f>610/60</f>
        <v>10.166666666666666</v>
      </c>
      <c r="E131" s="12">
        <v>5.37</v>
      </c>
      <c r="F131" s="15">
        <v>0.42</v>
      </c>
      <c r="G131" s="12">
        <v>0.89</v>
      </c>
      <c r="H131" s="15">
        <v>0.89</v>
      </c>
      <c r="I131" s="100">
        <v>5</v>
      </c>
    </row>
    <row r="132" spans="1:9" x14ac:dyDescent="0.5">
      <c r="A132" s="96" t="s">
        <v>12</v>
      </c>
      <c r="B132" s="14" t="s">
        <v>9</v>
      </c>
      <c r="C132" s="13">
        <v>16</v>
      </c>
      <c r="D132" s="15">
        <f>612/60</f>
        <v>10.199999999999999</v>
      </c>
      <c r="E132" s="12">
        <v>5.39</v>
      </c>
      <c r="F132" s="15">
        <v>0.4</v>
      </c>
      <c r="G132" s="12">
        <v>0.9</v>
      </c>
      <c r="H132" s="15">
        <v>0.9</v>
      </c>
      <c r="I132" s="100">
        <v>5</v>
      </c>
    </row>
    <row r="133" spans="1:9" x14ac:dyDescent="0.5">
      <c r="A133" s="96" t="s">
        <v>12</v>
      </c>
      <c r="B133" s="14" t="s">
        <v>9</v>
      </c>
      <c r="C133" s="13">
        <v>32</v>
      </c>
      <c r="D133" s="15">
        <f>610.7/60</f>
        <v>10.178333333333335</v>
      </c>
      <c r="E133" s="12">
        <v>5.43</v>
      </c>
      <c r="F133" s="15">
        <v>0.37</v>
      </c>
      <c r="G133" s="12">
        <v>0.91</v>
      </c>
      <c r="H133" s="15">
        <v>0.91</v>
      </c>
      <c r="I133" s="100">
        <v>5</v>
      </c>
    </row>
    <row r="134" spans="1:9" x14ac:dyDescent="0.5">
      <c r="A134" s="96" t="s">
        <v>12</v>
      </c>
      <c r="B134" s="14" t="s">
        <v>10</v>
      </c>
      <c r="C134" s="13">
        <v>4</v>
      </c>
      <c r="D134" s="15">
        <f>634/60</f>
        <v>10.566666666666666</v>
      </c>
      <c r="E134" s="12">
        <v>5.49</v>
      </c>
      <c r="F134" s="15">
        <v>0.42</v>
      </c>
      <c r="G134" s="12">
        <v>0.9</v>
      </c>
      <c r="H134" s="15">
        <v>0.9</v>
      </c>
      <c r="I134" s="100">
        <v>5</v>
      </c>
    </row>
    <row r="135" spans="1:9" x14ac:dyDescent="0.5">
      <c r="A135" s="96" t="s">
        <v>12</v>
      </c>
      <c r="B135" s="14" t="s">
        <v>10</v>
      </c>
      <c r="C135" s="13">
        <v>8</v>
      </c>
      <c r="D135" s="15">
        <f>631/60</f>
        <v>10.516666666666667</v>
      </c>
      <c r="E135" s="12">
        <v>5.5</v>
      </c>
      <c r="F135" s="15">
        <v>0.39</v>
      </c>
      <c r="G135" s="12">
        <v>0.91</v>
      </c>
      <c r="H135" s="15">
        <v>0.91</v>
      </c>
      <c r="I135" s="100">
        <v>5</v>
      </c>
    </row>
    <row r="136" spans="1:9" x14ac:dyDescent="0.5">
      <c r="A136" s="96" t="s">
        <v>12</v>
      </c>
      <c r="B136" s="14" t="s">
        <v>10</v>
      </c>
      <c r="C136" s="13">
        <v>16</v>
      </c>
      <c r="D136" s="15">
        <f>631/60</f>
        <v>10.516666666666667</v>
      </c>
      <c r="E136" s="12">
        <v>5.53</v>
      </c>
      <c r="F136" s="15">
        <v>0.37</v>
      </c>
      <c r="G136" s="12">
        <v>0.92</v>
      </c>
      <c r="H136" s="15">
        <v>0.92</v>
      </c>
      <c r="I136" s="100">
        <v>5</v>
      </c>
    </row>
    <row r="137" spans="1:9" x14ac:dyDescent="0.5">
      <c r="A137" s="96" t="s">
        <v>12</v>
      </c>
      <c r="B137" s="14" t="s">
        <v>10</v>
      </c>
      <c r="C137" s="13">
        <v>32</v>
      </c>
      <c r="D137" s="15">
        <f>626/60</f>
        <v>10.433333333333334</v>
      </c>
      <c r="E137" s="12">
        <v>5.6</v>
      </c>
      <c r="F137" s="15">
        <v>0.36</v>
      </c>
      <c r="G137" s="12">
        <v>0.92</v>
      </c>
      <c r="H137" s="15">
        <v>0.92</v>
      </c>
      <c r="I137" s="100">
        <v>5</v>
      </c>
    </row>
    <row r="138" spans="1:9" x14ac:dyDescent="0.5">
      <c r="A138" s="96" t="s">
        <v>13</v>
      </c>
      <c r="B138" s="13" t="s">
        <v>8</v>
      </c>
      <c r="C138" s="13">
        <v>4</v>
      </c>
      <c r="D138" s="15">
        <f>606/60</f>
        <v>10.1</v>
      </c>
      <c r="E138" s="12">
        <v>3.67</v>
      </c>
      <c r="F138" s="15">
        <v>0.43</v>
      </c>
      <c r="G138" s="12">
        <v>0.87</v>
      </c>
      <c r="H138" s="15">
        <v>0.87</v>
      </c>
      <c r="I138" s="100">
        <v>5</v>
      </c>
    </row>
    <row r="139" spans="1:9" x14ac:dyDescent="0.5">
      <c r="A139" s="96" t="s">
        <v>13</v>
      </c>
      <c r="B139" s="13" t="s">
        <v>8</v>
      </c>
      <c r="C139" s="13">
        <v>8</v>
      </c>
      <c r="D139" s="15">
        <f>605/60</f>
        <v>10.083333333333334</v>
      </c>
      <c r="E139" s="12">
        <v>3.68</v>
      </c>
      <c r="F139" s="15">
        <v>0.4</v>
      </c>
      <c r="G139" s="12">
        <v>0.9</v>
      </c>
      <c r="H139" s="15">
        <v>0.9</v>
      </c>
      <c r="I139" s="100">
        <v>5</v>
      </c>
    </row>
    <row r="140" spans="1:9" x14ac:dyDescent="0.5">
      <c r="A140" s="96" t="s">
        <v>13</v>
      </c>
      <c r="B140" s="13" t="s">
        <v>8</v>
      </c>
      <c r="C140" s="13">
        <v>16</v>
      </c>
      <c r="D140" s="15">
        <f>603/60</f>
        <v>10.050000000000001</v>
      </c>
      <c r="E140" s="12">
        <v>3.69</v>
      </c>
      <c r="F140" s="15">
        <v>0.42</v>
      </c>
      <c r="G140" s="12">
        <v>0.91</v>
      </c>
      <c r="H140" s="15">
        <v>0.91</v>
      </c>
      <c r="I140" s="100">
        <v>5</v>
      </c>
    </row>
    <row r="141" spans="1:9" x14ac:dyDescent="0.5">
      <c r="A141" s="96" t="s">
        <v>13</v>
      </c>
      <c r="B141" s="13" t="s">
        <v>8</v>
      </c>
      <c r="C141" s="13">
        <v>32</v>
      </c>
      <c r="D141" s="15">
        <f>605/60</f>
        <v>10.083333333333334</v>
      </c>
      <c r="E141" s="12">
        <v>3.72</v>
      </c>
      <c r="F141" s="15">
        <v>0.39</v>
      </c>
      <c r="G141" s="12">
        <v>0.91</v>
      </c>
      <c r="H141" s="15">
        <v>0.91</v>
      </c>
      <c r="I141" s="100">
        <v>5</v>
      </c>
    </row>
    <row r="142" spans="1:9" x14ac:dyDescent="0.5">
      <c r="A142" s="96" t="s">
        <v>13</v>
      </c>
      <c r="B142" s="14" t="s">
        <v>9</v>
      </c>
      <c r="C142" s="13">
        <v>4</v>
      </c>
      <c r="D142" s="15">
        <f>620/60</f>
        <v>10.333333333333334</v>
      </c>
      <c r="E142" s="12">
        <v>3.8</v>
      </c>
      <c r="F142" s="15">
        <v>0.4</v>
      </c>
      <c r="G142" s="12">
        <v>0.87</v>
      </c>
      <c r="H142" s="15">
        <v>0.87</v>
      </c>
      <c r="I142" s="100">
        <v>5</v>
      </c>
    </row>
    <row r="143" spans="1:9" x14ac:dyDescent="0.5">
      <c r="A143" s="96" t="s">
        <v>13</v>
      </c>
      <c r="B143" s="14" t="s">
        <v>9</v>
      </c>
      <c r="C143" s="13">
        <v>8</v>
      </c>
      <c r="D143" s="15">
        <f>618/60</f>
        <v>10.3</v>
      </c>
      <c r="E143" s="12">
        <v>3.81</v>
      </c>
      <c r="F143" s="15">
        <v>0.4</v>
      </c>
      <c r="G143" s="12">
        <v>0.9</v>
      </c>
      <c r="H143" s="15">
        <v>0.9</v>
      </c>
      <c r="I143" s="100">
        <v>5</v>
      </c>
    </row>
    <row r="144" spans="1:9" x14ac:dyDescent="0.5">
      <c r="A144" s="96" t="s">
        <v>13</v>
      </c>
      <c r="B144" s="14" t="s">
        <v>9</v>
      </c>
      <c r="C144" s="13">
        <v>16</v>
      </c>
      <c r="D144" s="15">
        <f>618/60</f>
        <v>10.3</v>
      </c>
      <c r="E144" s="12">
        <v>3.83</v>
      </c>
      <c r="F144" s="15">
        <v>0.41</v>
      </c>
      <c r="G144" s="12">
        <v>0.91</v>
      </c>
      <c r="H144" s="15">
        <v>0.91</v>
      </c>
      <c r="I144" s="100">
        <v>5</v>
      </c>
    </row>
    <row r="145" spans="1:9" x14ac:dyDescent="0.5">
      <c r="A145" s="96" t="s">
        <v>13</v>
      </c>
      <c r="B145" s="14" t="s">
        <v>9</v>
      </c>
      <c r="C145" s="13">
        <v>32</v>
      </c>
      <c r="D145" s="15">
        <f>620/60</f>
        <v>10.333333333333334</v>
      </c>
      <c r="E145" s="12">
        <v>3.88</v>
      </c>
      <c r="F145" s="15">
        <v>0.39</v>
      </c>
      <c r="G145" s="12">
        <v>0.91</v>
      </c>
      <c r="H145" s="15">
        <v>0.91</v>
      </c>
      <c r="I145" s="100">
        <v>5</v>
      </c>
    </row>
    <row r="146" spans="1:9" x14ac:dyDescent="0.5">
      <c r="A146" s="96" t="s">
        <v>13</v>
      </c>
      <c r="B146" s="14" t="s">
        <v>10</v>
      </c>
      <c r="C146" s="13">
        <v>4</v>
      </c>
      <c r="D146" s="15">
        <f>634/60</f>
        <v>10.566666666666666</v>
      </c>
      <c r="E146" s="12">
        <v>5.49</v>
      </c>
      <c r="F146" s="15">
        <v>0.42</v>
      </c>
      <c r="G146" s="12">
        <v>0.9</v>
      </c>
      <c r="H146" s="15">
        <v>0.9</v>
      </c>
      <c r="I146" s="100">
        <v>5</v>
      </c>
    </row>
    <row r="147" spans="1:9" x14ac:dyDescent="0.5">
      <c r="A147" s="96" t="s">
        <v>13</v>
      </c>
      <c r="B147" s="14" t="s">
        <v>10</v>
      </c>
      <c r="C147" s="13">
        <v>8</v>
      </c>
      <c r="D147" s="15">
        <f>630/60</f>
        <v>10.5</v>
      </c>
      <c r="E147" s="12">
        <v>5.5</v>
      </c>
      <c r="F147" s="15">
        <v>0.39</v>
      </c>
      <c r="G147" s="12">
        <v>0.92</v>
      </c>
      <c r="H147" s="15">
        <v>0.92</v>
      </c>
      <c r="I147" s="100">
        <v>5</v>
      </c>
    </row>
    <row r="148" spans="1:9" x14ac:dyDescent="0.5">
      <c r="A148" s="96" t="s">
        <v>13</v>
      </c>
      <c r="B148" s="14" t="s">
        <v>10</v>
      </c>
      <c r="C148" s="13">
        <v>16</v>
      </c>
      <c r="D148" s="15">
        <f>631/60</f>
        <v>10.516666666666667</v>
      </c>
      <c r="E148" s="12">
        <v>5.53</v>
      </c>
      <c r="F148" s="15">
        <v>0.37</v>
      </c>
      <c r="G148" s="12">
        <v>0.92</v>
      </c>
      <c r="H148" s="15">
        <v>0.92</v>
      </c>
      <c r="I148" s="100">
        <v>5</v>
      </c>
    </row>
    <row r="149" spans="1:9" x14ac:dyDescent="0.5">
      <c r="A149" s="96" t="s">
        <v>13</v>
      </c>
      <c r="B149" s="14" t="s">
        <v>10</v>
      </c>
      <c r="C149" s="13">
        <v>32</v>
      </c>
      <c r="D149" s="15">
        <f>626/60</f>
        <v>10.433333333333334</v>
      </c>
      <c r="E149" s="12">
        <v>5.6</v>
      </c>
      <c r="F149" s="94">
        <v>0.36</v>
      </c>
      <c r="G149" s="95">
        <v>0.92</v>
      </c>
      <c r="H149" s="94">
        <v>0.92</v>
      </c>
      <c r="I149" s="100">
        <v>5</v>
      </c>
    </row>
    <row r="150" spans="1:9" x14ac:dyDescent="0.5">
      <c r="A150" s="91" t="s">
        <v>1</v>
      </c>
      <c r="B150" s="92"/>
      <c r="C150" s="93"/>
      <c r="D150" s="101">
        <v>2.8</v>
      </c>
      <c r="E150" s="102"/>
      <c r="F150" s="64">
        <v>84.75</v>
      </c>
      <c r="G150" s="102">
        <v>0.56000000000000005</v>
      </c>
      <c r="H150" s="101">
        <v>0.56000000000000005</v>
      </c>
      <c r="I150" s="100">
        <v>1</v>
      </c>
    </row>
    <row r="151" spans="1:9" x14ac:dyDescent="0.5">
      <c r="A151" s="96" t="s">
        <v>4</v>
      </c>
      <c r="B151" s="13" t="s">
        <v>8</v>
      </c>
      <c r="C151" s="13">
        <v>4</v>
      </c>
      <c r="D151" s="64">
        <v>3.43</v>
      </c>
      <c r="E151" s="63">
        <v>8.5299999999999994</v>
      </c>
      <c r="F151" s="64">
        <v>1.1399999999999999</v>
      </c>
      <c r="G151" s="63">
        <v>0.62</v>
      </c>
      <c r="H151" s="64">
        <v>0.62</v>
      </c>
      <c r="I151" s="100">
        <v>1</v>
      </c>
    </row>
    <row r="152" spans="1:9" x14ac:dyDescent="0.5">
      <c r="A152" s="96" t="s">
        <v>4</v>
      </c>
      <c r="B152" s="13" t="s">
        <v>8</v>
      </c>
      <c r="C152" s="13">
        <v>8</v>
      </c>
      <c r="D152" s="64">
        <v>3.45</v>
      </c>
      <c r="E152" s="63">
        <v>8.5399999999999991</v>
      </c>
      <c r="F152" s="64">
        <v>0.92</v>
      </c>
      <c r="G152" s="63">
        <v>0.64</v>
      </c>
      <c r="H152" s="64">
        <v>0.64</v>
      </c>
      <c r="I152" s="100">
        <v>1</v>
      </c>
    </row>
    <row r="153" spans="1:9" x14ac:dyDescent="0.5">
      <c r="A153" s="96" t="s">
        <v>4</v>
      </c>
      <c r="B153" s="13" t="s">
        <v>8</v>
      </c>
      <c r="C153" s="13">
        <v>16</v>
      </c>
      <c r="D153" s="64">
        <v>3.47</v>
      </c>
      <c r="E153" s="63">
        <v>8.5399999999999991</v>
      </c>
      <c r="F153" s="64">
        <v>0.77</v>
      </c>
      <c r="G153" s="63">
        <v>0.71</v>
      </c>
      <c r="H153" s="64">
        <v>0.71</v>
      </c>
      <c r="I153" s="100">
        <v>1</v>
      </c>
    </row>
    <row r="154" spans="1:9" x14ac:dyDescent="0.5">
      <c r="A154" s="96" t="s">
        <v>4</v>
      </c>
      <c r="B154" s="13" t="s">
        <v>8</v>
      </c>
      <c r="C154" s="13">
        <v>32</v>
      </c>
      <c r="D154" s="64">
        <v>3.57</v>
      </c>
      <c r="E154" s="63">
        <v>8.5500000000000007</v>
      </c>
      <c r="F154" s="64">
        <v>0.66</v>
      </c>
      <c r="G154" s="63">
        <v>0.75</v>
      </c>
      <c r="H154" s="64">
        <v>0.75</v>
      </c>
      <c r="I154" s="100">
        <v>1</v>
      </c>
    </row>
    <row r="155" spans="1:9" x14ac:dyDescent="0.5">
      <c r="A155" s="96" t="s">
        <v>4</v>
      </c>
      <c r="B155" s="14" t="s">
        <v>9</v>
      </c>
      <c r="C155" s="13">
        <v>4</v>
      </c>
      <c r="D155" s="64">
        <v>3.62</v>
      </c>
      <c r="E155" s="63">
        <v>8.73</v>
      </c>
      <c r="F155" s="64">
        <v>1.1299999999999999</v>
      </c>
      <c r="G155" s="63">
        <v>0.61</v>
      </c>
      <c r="H155" s="64">
        <v>0.61</v>
      </c>
      <c r="I155" s="100">
        <v>1</v>
      </c>
    </row>
    <row r="156" spans="1:9" x14ac:dyDescent="0.5">
      <c r="A156" s="96" t="s">
        <v>4</v>
      </c>
      <c r="B156" s="14" t="s">
        <v>9</v>
      </c>
      <c r="C156" s="13">
        <v>8</v>
      </c>
      <c r="D156" s="64">
        <v>3.62</v>
      </c>
      <c r="E156" s="63">
        <v>8.74</v>
      </c>
      <c r="F156" s="64">
        <v>0.96</v>
      </c>
      <c r="G156" s="63">
        <v>0.65</v>
      </c>
      <c r="H156" s="64">
        <v>0.65</v>
      </c>
      <c r="I156" s="100">
        <v>1</v>
      </c>
    </row>
    <row r="157" spans="1:9" x14ac:dyDescent="0.5">
      <c r="A157" s="96" t="s">
        <v>4</v>
      </c>
      <c r="B157" s="14" t="s">
        <v>9</v>
      </c>
      <c r="C157" s="13">
        <v>16</v>
      </c>
      <c r="D157" s="64">
        <v>3.63</v>
      </c>
      <c r="E157" s="63">
        <v>8.74</v>
      </c>
      <c r="F157" s="64">
        <v>1.01</v>
      </c>
      <c r="G157" s="63">
        <v>0.66</v>
      </c>
      <c r="H157" s="64">
        <v>0.66</v>
      </c>
      <c r="I157" s="100">
        <v>1</v>
      </c>
    </row>
    <row r="158" spans="1:9" x14ac:dyDescent="0.5">
      <c r="A158" s="96" t="s">
        <v>4</v>
      </c>
      <c r="B158" s="14" t="s">
        <v>9</v>
      </c>
      <c r="C158" s="13">
        <v>32</v>
      </c>
      <c r="D158" s="64">
        <v>3.78</v>
      </c>
      <c r="E158" s="63">
        <v>8.7899999999999991</v>
      </c>
      <c r="F158" s="64">
        <v>0.75</v>
      </c>
      <c r="G158" s="63">
        <v>0.73</v>
      </c>
      <c r="H158" s="64">
        <v>0.73</v>
      </c>
      <c r="I158" s="100">
        <v>1</v>
      </c>
    </row>
    <row r="159" spans="1:9" x14ac:dyDescent="0.5">
      <c r="A159" s="96" t="s">
        <v>4</v>
      </c>
      <c r="B159" s="14" t="s">
        <v>10</v>
      </c>
      <c r="C159" s="13">
        <v>4</v>
      </c>
      <c r="D159" s="64">
        <v>3.85</v>
      </c>
      <c r="E159" s="63">
        <v>8.9499999999999993</v>
      </c>
      <c r="F159" s="64">
        <v>0.98</v>
      </c>
      <c r="G159" s="63">
        <v>0.63</v>
      </c>
      <c r="H159" s="64">
        <v>0.63</v>
      </c>
      <c r="I159" s="100">
        <v>1</v>
      </c>
    </row>
    <row r="160" spans="1:9" x14ac:dyDescent="0.5">
      <c r="A160" s="96" t="s">
        <v>4</v>
      </c>
      <c r="B160" s="14" t="s">
        <v>10</v>
      </c>
      <c r="C160" s="13">
        <v>8</v>
      </c>
      <c r="D160" s="64">
        <v>3.85</v>
      </c>
      <c r="E160" s="63">
        <v>8.9499999999999993</v>
      </c>
      <c r="F160" s="64">
        <v>0.88</v>
      </c>
      <c r="G160" s="63">
        <v>0.67</v>
      </c>
      <c r="H160" s="64">
        <v>0.67</v>
      </c>
      <c r="I160" s="100">
        <v>1</v>
      </c>
    </row>
    <row r="161" spans="1:9" x14ac:dyDescent="0.5">
      <c r="A161" s="96" t="s">
        <v>4</v>
      </c>
      <c r="B161" s="14" t="s">
        <v>10</v>
      </c>
      <c r="C161" s="13">
        <v>16</v>
      </c>
      <c r="D161" s="64">
        <v>3.88</v>
      </c>
      <c r="E161" s="63">
        <v>8.9700000000000006</v>
      </c>
      <c r="F161" s="64">
        <v>0.71</v>
      </c>
      <c r="G161" s="63">
        <v>0.73</v>
      </c>
      <c r="H161" s="64">
        <v>0.73</v>
      </c>
      <c r="I161" s="100">
        <v>1</v>
      </c>
    </row>
    <row r="162" spans="1:9" x14ac:dyDescent="0.5">
      <c r="A162" s="96" t="s">
        <v>4</v>
      </c>
      <c r="B162" s="14" t="s">
        <v>10</v>
      </c>
      <c r="C162" s="13">
        <v>32</v>
      </c>
      <c r="D162" s="64">
        <v>4.0999999999999996</v>
      </c>
      <c r="E162" s="63">
        <v>9.0299999999999994</v>
      </c>
      <c r="F162" s="64">
        <v>0.61</v>
      </c>
      <c r="G162" s="63">
        <v>0.77</v>
      </c>
      <c r="H162" s="64">
        <v>0.77</v>
      </c>
      <c r="I162" s="100">
        <v>1</v>
      </c>
    </row>
    <row r="163" spans="1:9" x14ac:dyDescent="0.5">
      <c r="A163" s="96" t="s">
        <v>12</v>
      </c>
      <c r="B163" s="13" t="s">
        <v>8</v>
      </c>
      <c r="C163" s="13">
        <v>4</v>
      </c>
      <c r="D163" s="64">
        <f>374/60</f>
        <v>6.2333333333333334</v>
      </c>
      <c r="E163" s="63">
        <v>3.67</v>
      </c>
      <c r="F163" s="64">
        <v>1.26</v>
      </c>
      <c r="G163" s="63">
        <v>0.51</v>
      </c>
      <c r="H163" s="64">
        <v>0.51</v>
      </c>
      <c r="I163" s="100">
        <v>1</v>
      </c>
    </row>
    <row r="164" spans="1:9" x14ac:dyDescent="0.5">
      <c r="A164" s="96" t="s">
        <v>12</v>
      </c>
      <c r="B164" s="13" t="s">
        <v>8</v>
      </c>
      <c r="C164" s="13">
        <v>8</v>
      </c>
      <c r="D164" s="64">
        <f>373/60</f>
        <v>6.2166666666666668</v>
      </c>
      <c r="E164" s="63">
        <v>3.68</v>
      </c>
      <c r="F164" s="64">
        <v>1.25</v>
      </c>
      <c r="G164" s="63">
        <v>0.49</v>
      </c>
      <c r="H164" s="64">
        <v>0.49</v>
      </c>
      <c r="I164" s="100">
        <v>1</v>
      </c>
    </row>
    <row r="165" spans="1:9" x14ac:dyDescent="0.5">
      <c r="A165" s="96" t="s">
        <v>12</v>
      </c>
      <c r="B165" s="13" t="s">
        <v>8</v>
      </c>
      <c r="C165" s="13">
        <v>16</v>
      </c>
      <c r="D165" s="64">
        <f>373/60</f>
        <v>6.2166666666666668</v>
      </c>
      <c r="E165" s="63">
        <v>3.69</v>
      </c>
      <c r="F165" s="64">
        <v>1.08</v>
      </c>
      <c r="G165" s="63">
        <v>0.57999999999999996</v>
      </c>
      <c r="H165" s="64">
        <v>0.57999999999999996</v>
      </c>
      <c r="I165" s="100">
        <v>1</v>
      </c>
    </row>
    <row r="166" spans="1:9" x14ac:dyDescent="0.5">
      <c r="A166" s="96" t="s">
        <v>12</v>
      </c>
      <c r="B166" s="13" t="s">
        <v>8</v>
      </c>
      <c r="C166" s="13">
        <v>32</v>
      </c>
      <c r="D166" s="64">
        <f>373/60</f>
        <v>6.2166666666666668</v>
      </c>
      <c r="E166" s="63">
        <v>3.73</v>
      </c>
      <c r="F166" s="64">
        <v>0.87</v>
      </c>
      <c r="G166" s="63">
        <v>0.67</v>
      </c>
      <c r="H166" s="64">
        <v>0.67</v>
      </c>
      <c r="I166" s="100">
        <v>1</v>
      </c>
    </row>
    <row r="167" spans="1:9" x14ac:dyDescent="0.5">
      <c r="A167" s="96" t="s">
        <v>12</v>
      </c>
      <c r="B167" s="14" t="s">
        <v>9</v>
      </c>
      <c r="C167" s="13">
        <v>4</v>
      </c>
      <c r="D167" s="64">
        <f>379/60</f>
        <v>6.3166666666666664</v>
      </c>
      <c r="E167" s="63">
        <v>3.81</v>
      </c>
      <c r="F167" s="64">
        <v>1.35</v>
      </c>
      <c r="G167" s="63">
        <v>0.44</v>
      </c>
      <c r="H167" s="64">
        <v>0.44</v>
      </c>
      <c r="I167" s="100">
        <v>1</v>
      </c>
    </row>
    <row r="168" spans="1:9" x14ac:dyDescent="0.5">
      <c r="A168" s="96" t="s">
        <v>12</v>
      </c>
      <c r="B168" s="14" t="s">
        <v>9</v>
      </c>
      <c r="C168" s="13">
        <v>8</v>
      </c>
      <c r="D168" s="64">
        <f>379/60</f>
        <v>6.3166666666666664</v>
      </c>
      <c r="E168" s="63">
        <v>3.81</v>
      </c>
      <c r="F168" s="64">
        <v>1.35</v>
      </c>
      <c r="G168" s="63">
        <v>0.49</v>
      </c>
      <c r="H168" s="64">
        <v>0.49</v>
      </c>
      <c r="I168" s="100">
        <v>1</v>
      </c>
    </row>
    <row r="169" spans="1:9" x14ac:dyDescent="0.5">
      <c r="A169" s="96" t="s">
        <v>12</v>
      </c>
      <c r="B169" s="14" t="s">
        <v>9</v>
      </c>
      <c r="C169" s="13">
        <v>16</v>
      </c>
      <c r="D169" s="64">
        <f>379/60</f>
        <v>6.3166666666666664</v>
      </c>
      <c r="E169" s="63">
        <v>3.84</v>
      </c>
      <c r="F169" s="64">
        <v>1.17</v>
      </c>
      <c r="G169" s="63">
        <v>0.55000000000000004</v>
      </c>
      <c r="H169" s="64">
        <v>0.55000000000000004</v>
      </c>
      <c r="I169" s="100">
        <v>1</v>
      </c>
    </row>
    <row r="170" spans="1:9" x14ac:dyDescent="0.5">
      <c r="A170" s="96" t="s">
        <v>12</v>
      </c>
      <c r="B170" s="14" t="s">
        <v>9</v>
      </c>
      <c r="C170" s="13">
        <v>32</v>
      </c>
      <c r="D170" s="64">
        <f>379/60</f>
        <v>6.3166666666666664</v>
      </c>
      <c r="E170" s="63">
        <v>3.87</v>
      </c>
      <c r="F170" s="64">
        <v>0.97</v>
      </c>
      <c r="G170" s="63">
        <v>0.63</v>
      </c>
      <c r="H170" s="64">
        <v>0.63</v>
      </c>
      <c r="I170" s="100">
        <v>1</v>
      </c>
    </row>
    <row r="171" spans="1:9" x14ac:dyDescent="0.5">
      <c r="A171" s="96" t="s">
        <v>12</v>
      </c>
      <c r="B171" s="14" t="s">
        <v>10</v>
      </c>
      <c r="C171" s="13">
        <v>4</v>
      </c>
      <c r="D171" s="64">
        <f>387/60</f>
        <v>6.45</v>
      </c>
      <c r="E171" s="63">
        <v>3.93</v>
      </c>
      <c r="F171" s="64">
        <v>1.26</v>
      </c>
      <c r="G171" s="63">
        <v>0.52</v>
      </c>
      <c r="H171" s="64">
        <v>0.52</v>
      </c>
      <c r="I171" s="100">
        <v>1</v>
      </c>
    </row>
    <row r="172" spans="1:9" x14ac:dyDescent="0.5">
      <c r="A172" s="96" t="s">
        <v>12</v>
      </c>
      <c r="B172" s="14" t="s">
        <v>10</v>
      </c>
      <c r="C172" s="13">
        <v>8</v>
      </c>
      <c r="D172" s="64">
        <f>387/60</f>
        <v>6.45</v>
      </c>
      <c r="E172" s="63">
        <v>3.95</v>
      </c>
      <c r="F172" s="64">
        <v>0.89</v>
      </c>
      <c r="G172" s="63">
        <v>0.66</v>
      </c>
      <c r="H172" s="64">
        <v>0.66</v>
      </c>
      <c r="I172" s="100">
        <v>1</v>
      </c>
    </row>
    <row r="173" spans="1:9" x14ac:dyDescent="0.5">
      <c r="A173" s="96" t="s">
        <v>12</v>
      </c>
      <c r="B173" s="14" t="s">
        <v>10</v>
      </c>
      <c r="C173" s="13">
        <v>16</v>
      </c>
      <c r="D173" s="64">
        <f>388/60</f>
        <v>6.4666666666666668</v>
      </c>
      <c r="E173" s="63">
        <v>3.98</v>
      </c>
      <c r="F173" s="64">
        <v>0.68</v>
      </c>
      <c r="G173" s="63">
        <v>0.74</v>
      </c>
      <c r="H173" s="64">
        <v>0.74</v>
      </c>
      <c r="I173" s="100">
        <v>1</v>
      </c>
    </row>
    <row r="174" spans="1:9" x14ac:dyDescent="0.5">
      <c r="A174" s="96" t="s">
        <v>12</v>
      </c>
      <c r="B174" s="14" t="s">
        <v>10</v>
      </c>
      <c r="C174" s="13">
        <v>32</v>
      </c>
      <c r="D174" s="64">
        <f>387/60</f>
        <v>6.45</v>
      </c>
      <c r="E174" s="63">
        <v>4.04</v>
      </c>
      <c r="F174" s="64">
        <v>0.52</v>
      </c>
      <c r="G174" s="63">
        <v>0.81</v>
      </c>
      <c r="H174" s="64">
        <v>0.81</v>
      </c>
      <c r="I174" s="100">
        <v>1</v>
      </c>
    </row>
    <row r="175" spans="1:9" x14ac:dyDescent="0.5">
      <c r="A175" s="96" t="s">
        <v>13</v>
      </c>
      <c r="B175" s="13" t="s">
        <v>8</v>
      </c>
      <c r="C175" s="13">
        <v>4</v>
      </c>
      <c r="D175" s="64">
        <f>380/60</f>
        <v>6.333333333333333</v>
      </c>
      <c r="E175" s="63">
        <v>3.68</v>
      </c>
      <c r="F175" s="64">
        <v>1.49</v>
      </c>
      <c r="G175" s="63">
        <v>0.39</v>
      </c>
      <c r="H175" s="64">
        <v>0.39</v>
      </c>
      <c r="I175" s="100">
        <v>1</v>
      </c>
    </row>
    <row r="176" spans="1:9" x14ac:dyDescent="0.5">
      <c r="A176" s="96" t="s">
        <v>13</v>
      </c>
      <c r="B176" s="13" t="s">
        <v>8</v>
      </c>
      <c r="C176" s="13">
        <v>8</v>
      </c>
      <c r="D176" s="64">
        <f>379/60</f>
        <v>6.3166666666666664</v>
      </c>
      <c r="E176" s="63">
        <v>3.68</v>
      </c>
      <c r="F176" s="64">
        <v>1.31</v>
      </c>
      <c r="G176" s="63">
        <v>0.47</v>
      </c>
      <c r="H176" s="64">
        <v>0.47</v>
      </c>
      <c r="I176" s="100">
        <v>1</v>
      </c>
    </row>
    <row r="177" spans="1:9" x14ac:dyDescent="0.5">
      <c r="A177" s="96" t="s">
        <v>13</v>
      </c>
      <c r="B177" s="13" t="s">
        <v>8</v>
      </c>
      <c r="C177" s="13">
        <v>16</v>
      </c>
      <c r="D177" s="64">
        <f>380/60</f>
        <v>6.333333333333333</v>
      </c>
      <c r="E177" s="63">
        <v>3.7</v>
      </c>
      <c r="F177" s="64">
        <v>1.1399999999999999</v>
      </c>
      <c r="G177" s="63">
        <v>0.55000000000000004</v>
      </c>
      <c r="H177" s="64">
        <v>0.55000000000000004</v>
      </c>
      <c r="I177" s="100">
        <v>1</v>
      </c>
    </row>
    <row r="178" spans="1:9" x14ac:dyDescent="0.5">
      <c r="A178" s="96" t="s">
        <v>13</v>
      </c>
      <c r="B178" s="13" t="s">
        <v>8</v>
      </c>
      <c r="C178" s="13">
        <v>32</v>
      </c>
      <c r="D178" s="64">
        <f>379/60</f>
        <v>6.3166666666666664</v>
      </c>
      <c r="E178" s="63">
        <v>3.73</v>
      </c>
      <c r="F178" s="64">
        <v>0.91</v>
      </c>
      <c r="G178" s="63">
        <v>0.66</v>
      </c>
      <c r="H178" s="64">
        <v>0.66</v>
      </c>
      <c r="I178" s="100">
        <v>1</v>
      </c>
    </row>
    <row r="179" spans="1:9" x14ac:dyDescent="0.5">
      <c r="A179" s="96" t="s">
        <v>13</v>
      </c>
      <c r="B179" s="14" t="s">
        <v>9</v>
      </c>
      <c r="C179" s="13">
        <v>4</v>
      </c>
      <c r="D179" s="64">
        <f>385/60</f>
        <v>6.416666666666667</v>
      </c>
      <c r="E179" s="63">
        <v>3.81</v>
      </c>
      <c r="F179" s="64">
        <v>1.43</v>
      </c>
      <c r="G179" s="63">
        <v>0.41</v>
      </c>
      <c r="H179" s="64">
        <v>0.41</v>
      </c>
      <c r="I179" s="100">
        <v>1</v>
      </c>
    </row>
    <row r="180" spans="1:9" x14ac:dyDescent="0.5">
      <c r="A180" s="96" t="s">
        <v>13</v>
      </c>
      <c r="B180" s="14" t="s">
        <v>9</v>
      </c>
      <c r="C180" s="13">
        <v>8</v>
      </c>
      <c r="D180" s="64">
        <f>386/60</f>
        <v>6.4333333333333336</v>
      </c>
      <c r="E180" s="63">
        <v>3.82</v>
      </c>
      <c r="F180" s="64">
        <v>1.34</v>
      </c>
      <c r="G180" s="63">
        <v>0.49</v>
      </c>
      <c r="H180" s="64">
        <v>0.49</v>
      </c>
      <c r="I180" s="100">
        <v>1</v>
      </c>
    </row>
    <row r="181" spans="1:9" x14ac:dyDescent="0.5">
      <c r="A181" s="96" t="s">
        <v>13</v>
      </c>
      <c r="B181" s="14" t="s">
        <v>9</v>
      </c>
      <c r="C181" s="13">
        <v>16</v>
      </c>
      <c r="D181" s="64">
        <f>385/60</f>
        <v>6.416666666666667</v>
      </c>
      <c r="E181" s="63">
        <v>3.84</v>
      </c>
      <c r="F181" s="64">
        <v>1.19</v>
      </c>
      <c r="G181" s="63">
        <v>0.55000000000000004</v>
      </c>
      <c r="H181" s="64">
        <v>0.55000000000000004</v>
      </c>
      <c r="I181" s="100">
        <v>1</v>
      </c>
    </row>
    <row r="182" spans="1:9" x14ac:dyDescent="0.5">
      <c r="A182" s="96" t="s">
        <v>13</v>
      </c>
      <c r="B182" s="14" t="s">
        <v>9</v>
      </c>
      <c r="C182" s="13">
        <v>32</v>
      </c>
      <c r="D182" s="64">
        <f>384/60</f>
        <v>6.4</v>
      </c>
      <c r="E182" s="63">
        <v>3.88</v>
      </c>
      <c r="F182" s="64">
        <v>0.98</v>
      </c>
      <c r="G182" s="63">
        <v>0.63</v>
      </c>
      <c r="H182" s="64">
        <v>0.63</v>
      </c>
      <c r="I182" s="100">
        <v>1</v>
      </c>
    </row>
    <row r="183" spans="1:9" x14ac:dyDescent="0.5">
      <c r="A183" s="96" t="s">
        <v>13</v>
      </c>
      <c r="B183" s="14" t="s">
        <v>10</v>
      </c>
      <c r="C183" s="13">
        <v>4</v>
      </c>
      <c r="D183" s="64">
        <f>396/60</f>
        <v>6.6</v>
      </c>
      <c r="E183" s="63">
        <v>3.96</v>
      </c>
      <c r="F183" s="64">
        <v>1.25</v>
      </c>
      <c r="G183" s="63">
        <v>0.53</v>
      </c>
      <c r="H183" s="64">
        <v>0.53</v>
      </c>
      <c r="I183" s="100">
        <v>1</v>
      </c>
    </row>
    <row r="184" spans="1:9" x14ac:dyDescent="0.5">
      <c r="A184" s="96" t="s">
        <v>13</v>
      </c>
      <c r="B184" s="14" t="s">
        <v>10</v>
      </c>
      <c r="C184" s="13">
        <v>8</v>
      </c>
      <c r="D184" s="64">
        <f>395/60</f>
        <v>6.583333333333333</v>
      </c>
      <c r="E184" s="63">
        <v>3.95</v>
      </c>
      <c r="F184" s="64">
        <v>0.86</v>
      </c>
      <c r="G184" s="63">
        <v>0.67</v>
      </c>
      <c r="H184" s="64">
        <v>0.67</v>
      </c>
      <c r="I184" s="100">
        <v>1</v>
      </c>
    </row>
    <row r="185" spans="1:9" x14ac:dyDescent="0.5">
      <c r="A185" s="96" t="s">
        <v>13</v>
      </c>
      <c r="B185" s="14" t="s">
        <v>10</v>
      </c>
      <c r="C185" s="13">
        <v>16</v>
      </c>
      <c r="D185" s="64">
        <f>395/60</f>
        <v>6.583333333333333</v>
      </c>
      <c r="E185" s="63">
        <v>3.98</v>
      </c>
      <c r="F185" s="64">
        <v>0.65</v>
      </c>
      <c r="G185" s="63">
        <v>0.75</v>
      </c>
      <c r="H185" s="64">
        <v>0.75</v>
      </c>
      <c r="I185" s="100">
        <v>1</v>
      </c>
    </row>
    <row r="186" spans="1:9" x14ac:dyDescent="0.5">
      <c r="A186" s="96" t="s">
        <v>13</v>
      </c>
      <c r="B186" s="14" t="s">
        <v>10</v>
      </c>
      <c r="C186" s="13">
        <v>32</v>
      </c>
      <c r="D186" s="101">
        <f>393/60</f>
        <v>6.55</v>
      </c>
      <c r="E186" s="63">
        <v>4.04</v>
      </c>
      <c r="F186" s="64">
        <v>0.5</v>
      </c>
      <c r="G186" s="102">
        <v>0.81</v>
      </c>
      <c r="H186" s="101">
        <v>0.82</v>
      </c>
      <c r="I186" s="100">
        <v>1</v>
      </c>
    </row>
  </sheetData>
  <conditionalFormatting sqref="F2:F38 F40:F186">
    <cfRule type="cellIs" dxfId="4" priority="8" operator="greaterThan">
      <formula>2</formula>
    </cfRule>
  </conditionalFormatting>
  <conditionalFormatting sqref="F39">
    <cfRule type="cellIs" dxfId="3" priority="7" operator="greaterThan">
      <formula>0.3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100%</vt:lpstr>
      <vt:lpstr>50%</vt:lpstr>
      <vt:lpstr>10%</vt:lpstr>
      <vt:lpstr>5%</vt:lpstr>
      <vt:lpstr>1%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Blinova</dc:creator>
  <cp:lastModifiedBy>Olga Blinova</cp:lastModifiedBy>
  <dcterms:created xsi:type="dcterms:W3CDTF">2026-03-03T16:22:26Z</dcterms:created>
  <dcterms:modified xsi:type="dcterms:W3CDTF">2026-03-11T07:02:15Z</dcterms:modified>
</cp:coreProperties>
</file>