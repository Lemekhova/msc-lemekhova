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Olga\Documents\Магистратура_ВШЭ\ВКР\Exp\"/>
    </mc:Choice>
  </mc:AlternateContent>
  <xr:revisionPtr revIDLastSave="0" documentId="13_ncr:1_{97678AB3-75B5-425A-AA8A-C3C8C2E179AB}" xr6:coauthVersionLast="47" xr6:coauthVersionMax="47" xr10:uidLastSave="{00000000-0000-0000-0000-000000000000}"/>
  <bookViews>
    <workbookView xWindow="-98" yWindow="-98" windowWidth="21795" windowHeight="12975" activeTab="2" xr2:uid="{00000000-000D-0000-FFFF-FFFF00000000}"/>
  </bookViews>
  <sheets>
    <sheet name="100%" sheetId="8" r:id="rId1"/>
    <sheet name="1%" sheetId="6" r:id="rId2"/>
    <sheet name="50%" sheetId="9" r:id="rId3"/>
    <sheet name="10%" sheetId="10" r:id="rId4"/>
    <sheet name="5%" sheetId="11" r:id="rId5"/>
  </sheets>
  <calcPr calcId="191029"/>
</workbook>
</file>

<file path=xl/calcChain.xml><?xml version="1.0" encoding="utf-8"?>
<calcChain xmlns="http://schemas.openxmlformats.org/spreadsheetml/2006/main">
  <c r="D26" i="6" l="1"/>
  <c r="D22" i="6"/>
  <c r="D18" i="6"/>
  <c r="D25" i="6"/>
  <c r="D21" i="6"/>
  <c r="D17" i="6"/>
  <c r="D24" i="6"/>
  <c r="D20" i="6"/>
  <c r="D16" i="6"/>
  <c r="D23" i="6"/>
  <c r="D19" i="6"/>
  <c r="D15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14" i="9"/>
  <c r="D10" i="9"/>
  <c r="D6" i="9"/>
  <c r="D13" i="9"/>
  <c r="D9" i="9"/>
  <c r="D5" i="9"/>
  <c r="D12" i="9"/>
  <c r="D8" i="9"/>
  <c r="D4" i="9"/>
  <c r="D11" i="9"/>
  <c r="D7" i="9"/>
  <c r="D3" i="9"/>
  <c r="D2" i="9"/>
</calcChain>
</file>

<file path=xl/sharedStrings.xml><?xml version="1.0" encoding="utf-8"?>
<sst xmlns="http://schemas.openxmlformats.org/spreadsheetml/2006/main" count="435" uniqueCount="21">
  <si>
    <t>modules</t>
  </si>
  <si>
    <t>baseline</t>
  </si>
  <si>
    <t>rank</t>
  </si>
  <si>
    <t>time, min</t>
  </si>
  <si>
    <t>LoRA</t>
  </si>
  <si>
    <t>loss</t>
  </si>
  <si>
    <t>accuracy</t>
  </si>
  <si>
    <t>F1</t>
  </si>
  <si>
    <t>q+v</t>
  </si>
  <si>
    <t>q+k+v</t>
  </si>
  <si>
    <t>q+k+v+o</t>
  </si>
  <si>
    <t>gpu, gb</t>
  </si>
  <si>
    <t>QLoRA nf4</t>
  </si>
  <si>
    <t>QLoRA fp4</t>
  </si>
  <si>
    <t>100% датасета</t>
  </si>
  <si>
    <t>1% датасета</t>
  </si>
  <si>
    <t>50% датасета</t>
  </si>
  <si>
    <t>10% датасета</t>
  </si>
  <si>
    <t>5% датасета</t>
  </si>
  <si>
    <t>-</t>
  </si>
  <si>
    <t>OrthoGeoLoRA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</si>
</sst>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charset val="204"/>
      <scheme val="minor"/>
    </font>
    <font>
      <b/>
      <sz val="12"/>
      <color rgb="FFFF0000"/>
      <name val="Calibri"/>
      <family val="2"/>
      <charset val="204"/>
      <scheme val="minor"/>
    </font>
    <font>
      <b/>
      <sz val="11"/>
      <color rgb="FFFF0000"/>
      <name val="Courier New"/>
      <family val="3"/>
      <charset val="204"/>
    </font>
    <font>
      <sz val="12"/>
      <color rgb="FFFF0000"/>
      <name val="Calibri"/>
      <family val="2"/>
      <scheme val="minor"/>
    </font>
    <font>
      <b/>
      <sz val="12"/>
      <name val="Calibri"/>
      <family val="2"/>
      <charset val="204"/>
      <scheme val="minor"/>
    </font>
    <font>
      <sz val="8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9" fontId="4" fillId="0" borderId="0" xfId="0" applyNumberFormat="1" applyFont="1" applyAlignment="1">
      <alignment horizontal="right" vertical="center"/>
    </xf>
    <xf numFmtId="0" fontId="4" fillId="0" borderId="0" xfId="0" applyFont="1" applyAlignment="1">
      <alignment horizontal="left" vertical="center"/>
    </xf>
    <xf numFmtId="0" fontId="1" fillId="0" borderId="13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" fontId="0" fillId="0" borderId="0" xfId="0" applyNumberFormat="1" applyAlignment="1">
      <alignment horizontal="center" vertical="center"/>
    </xf>
    <xf numFmtId="0" fontId="1" fillId="0" borderId="0" xfId="0" applyFont="1" applyAlignment="1">
      <alignment vertical="center"/>
    </xf>
    <xf numFmtId="2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/>
    </xf>
    <xf numFmtId="2" fontId="0" fillId="2" borderId="1" xfId="0" applyNumberFormat="1" applyFill="1" applyBorder="1" applyAlignment="1">
      <alignment horizontal="center" vertical="center"/>
    </xf>
    <xf numFmtId="0" fontId="1" fillId="0" borderId="0" xfId="0" applyFont="1" applyAlignment="1">
      <alignment vertical="center" wrapText="1"/>
    </xf>
    <xf numFmtId="0" fontId="5" fillId="0" borderId="3" xfId="0" applyFont="1" applyBorder="1" applyAlignment="1">
      <alignment horizontal="left" vertical="center"/>
    </xf>
    <xf numFmtId="0" fontId="1" fillId="0" borderId="4" xfId="0" applyFont="1" applyBorder="1" applyAlignment="1">
      <alignment horizontal="left" vertical="center"/>
    </xf>
    <xf numFmtId="2" fontId="0" fillId="2" borderId="4" xfId="0" applyNumberFormat="1" applyFill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0" fontId="5" fillId="0" borderId="6" xfId="0" applyFont="1" applyBorder="1" applyAlignment="1">
      <alignment horizontal="left" vertical="center"/>
    </xf>
    <xf numFmtId="0" fontId="5" fillId="0" borderId="8" xfId="0" applyFont="1" applyBorder="1" applyAlignment="1">
      <alignment horizontal="left" vertical="center"/>
    </xf>
    <xf numFmtId="0" fontId="1" fillId="0" borderId="9" xfId="0" applyFont="1" applyBorder="1" applyAlignment="1">
      <alignment horizontal="left"/>
    </xf>
    <xf numFmtId="2" fontId="0" fillId="2" borderId="9" xfId="0" applyNumberFormat="1" applyFill="1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0" fontId="1" fillId="0" borderId="11" xfId="0" applyFont="1" applyBorder="1"/>
    <xf numFmtId="0" fontId="1" fillId="0" borderId="12" xfId="0" applyFont="1" applyBorder="1" applyAlignment="1">
      <alignment horizontal="center" vertical="center" wrapText="1"/>
    </xf>
    <xf numFmtId="0" fontId="0" fillId="2" borderId="12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2" fillId="0" borderId="11" xfId="0" applyFont="1" applyBorder="1"/>
    <xf numFmtId="0" fontId="1" fillId="2" borderId="12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 wrapText="1"/>
    </xf>
    <xf numFmtId="0" fontId="0" fillId="2" borderId="14" xfId="0" applyFill="1" applyBorder="1" applyAlignment="1">
      <alignment horizontal="center" vertical="center"/>
    </xf>
    <xf numFmtId="2" fontId="0" fillId="2" borderId="16" xfId="0" applyNumberFormat="1" applyFill="1" applyBorder="1" applyAlignment="1">
      <alignment horizontal="center" vertical="center"/>
    </xf>
    <xf numFmtId="2" fontId="0" fillId="2" borderId="2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0" fontId="1" fillId="0" borderId="5" xfId="0" applyFont="1" applyBorder="1" applyAlignment="1">
      <alignment horizontal="left" vertical="center"/>
    </xf>
    <xf numFmtId="0" fontId="1" fillId="0" borderId="7" xfId="0" applyFont="1" applyBorder="1" applyAlignment="1">
      <alignment horizontal="left" vertical="center"/>
    </xf>
    <xf numFmtId="0" fontId="1" fillId="0" borderId="10" xfId="0" applyFont="1" applyBorder="1" applyAlignment="1">
      <alignment horizontal="left"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7" xfId="0" applyNumberFormat="1" applyFill="1" applyBorder="1" applyAlignment="1">
      <alignment horizontal="center" vertical="center"/>
    </xf>
    <xf numFmtId="2" fontId="0" fillId="2" borderId="10" xfId="0" applyNumberFormat="1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2" fontId="0" fillId="2" borderId="3" xfId="0" applyNumberFormat="1" applyFill="1" applyBorder="1" applyAlignment="1">
      <alignment horizontal="center" vertical="center"/>
    </xf>
    <xf numFmtId="2" fontId="0" fillId="2" borderId="6" xfId="0" applyNumberFormat="1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7" fillId="2" borderId="14" xfId="0" applyFont="1" applyFill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 wrapText="1"/>
    </xf>
    <xf numFmtId="0" fontId="7" fillId="2" borderId="12" xfId="0" applyFont="1" applyFill="1" applyBorder="1" applyAlignment="1">
      <alignment horizontal="center" vertical="center" wrapText="1"/>
    </xf>
    <xf numFmtId="0" fontId="7" fillId="2" borderId="13" xfId="0" applyFont="1" applyFill="1" applyBorder="1" applyAlignment="1">
      <alignment horizontal="center" vertical="center" wrapText="1"/>
    </xf>
    <xf numFmtId="0" fontId="8" fillId="2" borderId="14" xfId="0" applyFont="1" applyFill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2" fontId="8" fillId="2" borderId="16" xfId="0" applyNumberFormat="1" applyFont="1" applyFill="1" applyBorder="1" applyAlignment="1">
      <alignment horizontal="center" vertical="center"/>
    </xf>
    <xf numFmtId="2" fontId="8" fillId="0" borderId="4" xfId="0" applyNumberFormat="1" applyFont="1" applyBorder="1" applyAlignment="1">
      <alignment horizontal="center" vertical="center"/>
    </xf>
    <xf numFmtId="2" fontId="8" fillId="2" borderId="4" xfId="0" applyNumberFormat="1" applyFont="1" applyFill="1" applyBorder="1" applyAlignment="1">
      <alignment horizontal="center" vertical="center"/>
    </xf>
    <xf numFmtId="2" fontId="8" fillId="2" borderId="5" xfId="0" applyNumberFormat="1" applyFont="1" applyFill="1" applyBorder="1" applyAlignment="1">
      <alignment horizontal="center" vertical="center"/>
    </xf>
    <xf numFmtId="2" fontId="8" fillId="2" borderId="2" xfId="0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2" fontId="8" fillId="2" borderId="1" xfId="0" applyNumberFormat="1" applyFont="1" applyFill="1" applyBorder="1" applyAlignment="1">
      <alignment horizontal="center" vertical="center"/>
    </xf>
    <xf numFmtId="2" fontId="8" fillId="2" borderId="7" xfId="0" applyNumberFormat="1" applyFont="1" applyFill="1" applyBorder="1" applyAlignment="1">
      <alignment horizontal="center" vertical="center"/>
    </xf>
    <xf numFmtId="2" fontId="8" fillId="2" borderId="15" xfId="0" applyNumberFormat="1" applyFont="1" applyFill="1" applyBorder="1" applyAlignment="1">
      <alignment horizontal="center" vertical="center"/>
    </xf>
    <xf numFmtId="2" fontId="8" fillId="0" borderId="9" xfId="0" applyNumberFormat="1" applyFont="1" applyBorder="1" applyAlignment="1">
      <alignment horizontal="center" vertical="center"/>
    </xf>
    <xf numFmtId="2" fontId="8" fillId="2" borderId="9" xfId="0" applyNumberFormat="1" applyFont="1" applyFill="1" applyBorder="1" applyAlignment="1">
      <alignment horizontal="center" vertical="center"/>
    </xf>
    <xf numFmtId="2" fontId="8" fillId="2" borderId="10" xfId="0" applyNumberFormat="1" applyFont="1" applyFill="1" applyBorder="1" applyAlignment="1">
      <alignment horizontal="center" vertical="center"/>
    </xf>
    <xf numFmtId="2" fontId="8" fillId="2" borderId="3" xfId="0" applyNumberFormat="1" applyFont="1" applyFill="1" applyBorder="1" applyAlignment="1">
      <alignment horizontal="center" vertical="center"/>
    </xf>
    <xf numFmtId="2" fontId="8" fillId="2" borderId="6" xfId="0" applyNumberFormat="1" applyFont="1" applyFill="1" applyBorder="1" applyAlignment="1">
      <alignment horizontal="center" vertical="center"/>
    </xf>
    <xf numFmtId="0" fontId="8" fillId="2" borderId="8" xfId="0" applyFont="1" applyFill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8" fillId="0" borderId="0" xfId="0" applyFont="1"/>
    <xf numFmtId="2" fontId="0" fillId="2" borderId="14" xfId="0" applyNumberFormat="1" applyFill="1" applyBorder="1" applyAlignment="1">
      <alignment horizontal="center" vertical="center"/>
    </xf>
  </cellXfs>
  <cellStyles count="1">
    <cellStyle name="Normal" xfId="0" builtinId="0"/>
  </cellStyles>
  <dxfs count="15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</dxfs>
  <tableStyles count="0" defaultTableStyle="TableStyleMedium9" defaultPivotStyle="PivotStyleMedium4"/>
  <colors>
    <mruColors>
      <color rgb="FFEAEAEA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94E78-B2C4-47A6-A09B-AD38E3983C70}">
  <dimension ref="A1:AX38"/>
  <sheetViews>
    <sheetView zoomScale="70" zoomScaleNormal="70" workbookViewId="0">
      <pane ySplit="2" topLeftCell="A3" activePane="bottomLeft" state="frozen"/>
      <selection pane="bottomLeft" activeCell="C31" sqref="C31"/>
    </sheetView>
  </sheetViews>
  <sheetFormatPr defaultRowHeight="15.75" x14ac:dyDescent="0.5"/>
  <cols>
    <col min="1" max="1" width="14.125" customWidth="1"/>
    <col min="3" max="3" width="5" customWidth="1"/>
    <col min="4" max="8" width="9" style="1"/>
    <col min="9" max="9" width="5.625" customWidth="1"/>
  </cols>
  <sheetData>
    <row r="1" spans="1:50" ht="16.149999999999999" thickBot="1" x14ac:dyDescent="0.55000000000000004">
      <c r="A1" s="31" t="s">
        <v>14</v>
      </c>
      <c r="B1" s="27" t="s">
        <v>0</v>
      </c>
      <c r="C1" s="7" t="s">
        <v>2</v>
      </c>
      <c r="D1" s="34" t="s">
        <v>3</v>
      </c>
      <c r="E1" s="27" t="s">
        <v>11</v>
      </c>
      <c r="F1" s="32" t="s">
        <v>5</v>
      </c>
      <c r="G1" s="27" t="s">
        <v>7</v>
      </c>
      <c r="H1" s="33" t="s">
        <v>6</v>
      </c>
      <c r="J1" s="3"/>
      <c r="K1" s="5"/>
      <c r="L1" s="6"/>
      <c r="M1" s="1"/>
      <c r="N1" s="1"/>
      <c r="O1" s="6"/>
      <c r="P1" s="1"/>
      <c r="Q1" s="1"/>
      <c r="R1" s="1"/>
      <c r="S1" s="1"/>
      <c r="T1" s="1"/>
      <c r="U1" s="1"/>
      <c r="V1" s="1"/>
      <c r="W1" s="1"/>
    </row>
    <row r="2" spans="1:50" ht="16.149999999999999" thickBot="1" x14ac:dyDescent="0.55000000000000004">
      <c r="A2" s="26" t="s">
        <v>1</v>
      </c>
      <c r="B2" s="27"/>
      <c r="C2" s="7"/>
      <c r="D2" s="35">
        <v>23.68</v>
      </c>
      <c r="E2" s="29" t="s">
        <v>19</v>
      </c>
      <c r="F2" s="28" t="s">
        <v>19</v>
      </c>
      <c r="G2" s="29">
        <v>0.62</v>
      </c>
      <c r="H2" s="30">
        <v>0.62</v>
      </c>
      <c r="J2" s="8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8"/>
    </row>
    <row r="3" spans="1:50" s="1" customFormat="1" x14ac:dyDescent="0.5">
      <c r="A3" s="17" t="s">
        <v>4</v>
      </c>
      <c r="B3" s="18" t="s">
        <v>8</v>
      </c>
      <c r="C3" s="39">
        <v>4</v>
      </c>
      <c r="D3" s="36">
        <v>58.6</v>
      </c>
      <c r="E3" s="20">
        <v>8.6300000000000008</v>
      </c>
      <c r="F3" s="19">
        <v>0.83</v>
      </c>
      <c r="G3" s="20">
        <v>0.93</v>
      </c>
      <c r="H3" s="42">
        <v>0.93</v>
      </c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</row>
    <row r="4" spans="1:50" s="1" customFormat="1" x14ac:dyDescent="0.5">
      <c r="A4" s="21" t="s">
        <v>4</v>
      </c>
      <c r="B4" s="13" t="s">
        <v>8</v>
      </c>
      <c r="C4" s="40">
        <v>8</v>
      </c>
      <c r="D4" s="37">
        <v>58.81</v>
      </c>
      <c r="E4" s="12">
        <v>8.64</v>
      </c>
      <c r="F4" s="15">
        <v>0.44</v>
      </c>
      <c r="G4" s="12">
        <v>0.94</v>
      </c>
      <c r="H4" s="43">
        <v>0.94</v>
      </c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50" s="1" customFormat="1" x14ac:dyDescent="0.5">
      <c r="A5" s="21" t="s">
        <v>4</v>
      </c>
      <c r="B5" s="13" t="s">
        <v>8</v>
      </c>
      <c r="C5" s="40">
        <v>16</v>
      </c>
      <c r="D5" s="37">
        <v>59.07</v>
      </c>
      <c r="E5" s="12">
        <v>8.65</v>
      </c>
      <c r="F5" s="15">
        <v>0.28999999999999998</v>
      </c>
      <c r="G5" s="12">
        <v>0.94</v>
      </c>
      <c r="H5" s="43">
        <v>0.94</v>
      </c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50" s="1" customFormat="1" x14ac:dyDescent="0.5">
      <c r="A6" s="21" t="s">
        <v>4</v>
      </c>
      <c r="B6" s="13" t="s">
        <v>8</v>
      </c>
      <c r="C6" s="40">
        <v>32</v>
      </c>
      <c r="D6" s="37">
        <v>60.92</v>
      </c>
      <c r="E6" s="12">
        <v>8.68</v>
      </c>
      <c r="F6" s="15">
        <v>0.28999999999999998</v>
      </c>
      <c r="G6" s="12">
        <v>0.95</v>
      </c>
      <c r="H6" s="43">
        <v>0.95</v>
      </c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50" s="1" customFormat="1" x14ac:dyDescent="0.5">
      <c r="A7" s="21" t="s">
        <v>4</v>
      </c>
      <c r="B7" s="14" t="s">
        <v>9</v>
      </c>
      <c r="C7" s="40">
        <v>4</v>
      </c>
      <c r="D7" s="37">
        <v>63.06</v>
      </c>
      <c r="E7" s="12">
        <v>8.81</v>
      </c>
      <c r="F7" s="15">
        <v>1.19</v>
      </c>
      <c r="G7" s="12">
        <v>0.93</v>
      </c>
      <c r="H7" s="43">
        <v>0.93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50" s="1" customFormat="1" x14ac:dyDescent="0.5">
      <c r="A8" s="21" t="s">
        <v>4</v>
      </c>
      <c r="B8" s="14" t="s">
        <v>9</v>
      </c>
      <c r="C8" s="40">
        <v>8</v>
      </c>
      <c r="D8" s="37">
        <v>63.11</v>
      </c>
      <c r="E8" s="12">
        <v>8.82</v>
      </c>
      <c r="F8" s="15">
        <v>0.65</v>
      </c>
      <c r="G8" s="12">
        <v>0.94</v>
      </c>
      <c r="H8" s="43">
        <v>0.94</v>
      </c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</row>
    <row r="9" spans="1:50" s="1" customFormat="1" x14ac:dyDescent="0.5">
      <c r="A9" s="21" t="s">
        <v>4</v>
      </c>
      <c r="B9" s="14" t="s">
        <v>9</v>
      </c>
      <c r="C9" s="40">
        <v>16</v>
      </c>
      <c r="D9" s="37">
        <v>63.21</v>
      </c>
      <c r="E9" s="12">
        <v>8.85</v>
      </c>
      <c r="F9" s="15">
        <v>0.82</v>
      </c>
      <c r="G9" s="12">
        <v>0.94</v>
      </c>
      <c r="H9" s="43">
        <v>0.94</v>
      </c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</row>
    <row r="10" spans="1:50" s="1" customFormat="1" x14ac:dyDescent="0.5">
      <c r="A10" s="21" t="s">
        <v>4</v>
      </c>
      <c r="B10" s="14" t="s">
        <v>9</v>
      </c>
      <c r="C10" s="40">
        <v>32</v>
      </c>
      <c r="D10" s="37">
        <v>65.58</v>
      </c>
      <c r="E10" s="12">
        <v>8.8800000000000008</v>
      </c>
      <c r="F10" s="15">
        <v>0.68</v>
      </c>
      <c r="G10" s="12">
        <v>0.94</v>
      </c>
      <c r="H10" s="43">
        <v>0.94</v>
      </c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</row>
    <row r="11" spans="1:50" s="1" customFormat="1" x14ac:dyDescent="0.5">
      <c r="A11" s="21" t="s">
        <v>4</v>
      </c>
      <c r="B11" s="14" t="s">
        <v>10</v>
      </c>
      <c r="C11" s="40">
        <v>4</v>
      </c>
      <c r="D11" s="37">
        <v>69.09</v>
      </c>
      <c r="E11" s="12">
        <v>9.02</v>
      </c>
      <c r="F11" s="15">
        <v>0.28000000000000003</v>
      </c>
      <c r="G11" s="12">
        <v>0.95</v>
      </c>
      <c r="H11" s="43">
        <v>0.95</v>
      </c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</row>
    <row r="12" spans="1:50" s="1" customFormat="1" x14ac:dyDescent="0.5">
      <c r="A12" s="21" t="s">
        <v>4</v>
      </c>
      <c r="B12" s="14" t="s">
        <v>10</v>
      </c>
      <c r="C12" s="40">
        <v>8</v>
      </c>
      <c r="D12" s="37">
        <v>69.06</v>
      </c>
      <c r="E12" s="12">
        <v>9.0299999999999994</v>
      </c>
      <c r="F12" s="15">
        <v>0.27</v>
      </c>
      <c r="G12" s="12">
        <v>0.95</v>
      </c>
      <c r="H12" s="43">
        <v>0.95</v>
      </c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</row>
    <row r="13" spans="1:50" s="1" customFormat="1" x14ac:dyDescent="0.5">
      <c r="A13" s="21" t="s">
        <v>4</v>
      </c>
      <c r="B13" s="14" t="s">
        <v>10</v>
      </c>
      <c r="C13" s="40">
        <v>16</v>
      </c>
      <c r="D13" s="37">
        <v>69.09</v>
      </c>
      <c r="E13" s="12">
        <v>9.06</v>
      </c>
      <c r="F13" s="15">
        <v>0.27</v>
      </c>
      <c r="G13" s="12">
        <v>0.95</v>
      </c>
      <c r="H13" s="43">
        <v>0.95</v>
      </c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</row>
    <row r="14" spans="1:50" s="1" customFormat="1" ht="16.149999999999999" thickBot="1" x14ac:dyDescent="0.55000000000000004">
      <c r="A14" s="22" t="s">
        <v>4</v>
      </c>
      <c r="B14" s="23" t="s">
        <v>10</v>
      </c>
      <c r="C14" s="41">
        <v>32</v>
      </c>
      <c r="D14" s="38">
        <v>72.27</v>
      </c>
      <c r="E14" s="25">
        <v>9.1300000000000008</v>
      </c>
      <c r="F14" s="24">
        <v>0.26</v>
      </c>
      <c r="G14" s="25">
        <v>0.95</v>
      </c>
      <c r="H14" s="44">
        <v>0.95</v>
      </c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</row>
    <row r="15" spans="1:50" x14ac:dyDescent="0.5">
      <c r="A15" s="17" t="s">
        <v>12</v>
      </c>
      <c r="B15" s="18" t="s">
        <v>8</v>
      </c>
      <c r="C15" s="39">
        <v>4</v>
      </c>
      <c r="D15" s="36">
        <v>98.7</v>
      </c>
      <c r="E15" s="20">
        <v>4.97</v>
      </c>
      <c r="F15" s="19">
        <v>0.3</v>
      </c>
      <c r="G15" s="20">
        <v>0.94</v>
      </c>
      <c r="H15" s="42">
        <v>0.94</v>
      </c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Y15" s="8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</row>
    <row r="16" spans="1:50" x14ac:dyDescent="0.5">
      <c r="A16" s="21" t="s">
        <v>12</v>
      </c>
      <c r="B16" s="13" t="s">
        <v>8</v>
      </c>
      <c r="C16" s="40">
        <v>8</v>
      </c>
      <c r="D16" s="37">
        <v>98.68</v>
      </c>
      <c r="E16" s="12">
        <v>5.17</v>
      </c>
      <c r="F16" s="15">
        <v>0.3</v>
      </c>
      <c r="G16" s="12">
        <v>0.94</v>
      </c>
      <c r="H16" s="43">
        <v>0.94</v>
      </c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Y16" s="8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"/>
      <c r="AU16" s="1"/>
      <c r="AV16" s="1"/>
      <c r="AW16" s="1"/>
      <c r="AX16" s="1"/>
    </row>
    <row r="17" spans="1:50" x14ac:dyDescent="0.5">
      <c r="A17" s="21" t="s">
        <v>12</v>
      </c>
      <c r="B17" s="13" t="s">
        <v>8</v>
      </c>
      <c r="C17" s="40">
        <v>16</v>
      </c>
      <c r="D17" s="37">
        <v>98.7</v>
      </c>
      <c r="E17" s="12">
        <v>5.24</v>
      </c>
      <c r="F17" s="15">
        <v>0.39</v>
      </c>
      <c r="G17" s="12">
        <v>0.94</v>
      </c>
      <c r="H17" s="43">
        <v>0.94</v>
      </c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Y17" s="8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  <c r="AQ17" s="10"/>
      <c r="AR17" s="10"/>
      <c r="AS17" s="10"/>
      <c r="AT17" s="1"/>
      <c r="AU17" s="1"/>
      <c r="AV17" s="1"/>
      <c r="AW17" s="1"/>
      <c r="AX17" s="1"/>
    </row>
    <row r="18" spans="1:50" x14ac:dyDescent="0.5">
      <c r="A18" s="21" t="s">
        <v>12</v>
      </c>
      <c r="B18" s="13" t="s">
        <v>8</v>
      </c>
      <c r="C18" s="40">
        <v>32</v>
      </c>
      <c r="D18" s="37">
        <v>98.68</v>
      </c>
      <c r="E18" s="12">
        <v>5.2</v>
      </c>
      <c r="F18" s="15">
        <v>0.37</v>
      </c>
      <c r="G18" s="12">
        <v>0.95</v>
      </c>
      <c r="H18" s="43">
        <v>0.95</v>
      </c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Y18" s="8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"/>
      <c r="AU18" s="1"/>
      <c r="AV18" s="1"/>
      <c r="AW18" s="1"/>
      <c r="AX18" s="1"/>
    </row>
    <row r="19" spans="1:50" x14ac:dyDescent="0.5">
      <c r="A19" s="21" t="s">
        <v>12</v>
      </c>
      <c r="B19" s="14" t="s">
        <v>9</v>
      </c>
      <c r="C19" s="40">
        <v>4</v>
      </c>
      <c r="D19" s="37">
        <v>101.78</v>
      </c>
      <c r="E19" s="12">
        <v>8.06</v>
      </c>
      <c r="F19" s="15">
        <v>0.28999999999999998</v>
      </c>
      <c r="G19" s="12">
        <v>0.94</v>
      </c>
      <c r="H19" s="43">
        <v>0.94</v>
      </c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Y19" s="2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</row>
    <row r="20" spans="1:50" x14ac:dyDescent="0.5">
      <c r="A20" s="21" t="s">
        <v>12</v>
      </c>
      <c r="B20" s="14" t="s">
        <v>9</v>
      </c>
      <c r="C20" s="40">
        <v>8</v>
      </c>
      <c r="D20" s="37">
        <v>101.62</v>
      </c>
      <c r="E20" s="12">
        <v>3.91</v>
      </c>
      <c r="F20" s="15">
        <v>0.28999999999999998</v>
      </c>
      <c r="G20" s="12">
        <v>0.94</v>
      </c>
      <c r="H20" s="43">
        <v>0.94</v>
      </c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Y20" s="3"/>
      <c r="Z20" s="5"/>
      <c r="AA20" s="6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</row>
    <row r="21" spans="1:50" x14ac:dyDescent="0.5">
      <c r="A21" s="21" t="s">
        <v>12</v>
      </c>
      <c r="B21" s="14" t="s">
        <v>9</v>
      </c>
      <c r="C21" s="40">
        <v>16</v>
      </c>
      <c r="D21" s="37">
        <v>101.67</v>
      </c>
      <c r="E21" s="12">
        <v>4.1399999999999997</v>
      </c>
      <c r="F21" s="15">
        <v>0.27</v>
      </c>
      <c r="G21" s="12">
        <v>0.95</v>
      </c>
      <c r="H21" s="43">
        <v>0.95</v>
      </c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Y21" s="4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</row>
    <row r="22" spans="1:50" x14ac:dyDescent="0.5">
      <c r="A22" s="21" t="s">
        <v>12</v>
      </c>
      <c r="B22" s="14" t="s">
        <v>9</v>
      </c>
      <c r="C22" s="40">
        <v>32</v>
      </c>
      <c r="D22" s="37">
        <v>101.58</v>
      </c>
      <c r="E22" s="12">
        <v>4.17</v>
      </c>
      <c r="F22" s="15">
        <v>0.26</v>
      </c>
      <c r="G22" s="12">
        <v>0.95</v>
      </c>
      <c r="H22" s="43">
        <v>0.95</v>
      </c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Y22" s="2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</row>
    <row r="23" spans="1:50" x14ac:dyDescent="0.5">
      <c r="A23" s="21" t="s">
        <v>12</v>
      </c>
      <c r="B23" s="14" t="s">
        <v>10</v>
      </c>
      <c r="C23" s="40">
        <v>4</v>
      </c>
      <c r="D23" s="37">
        <v>100.53</v>
      </c>
      <c r="E23" s="12">
        <v>5.16</v>
      </c>
      <c r="F23" s="15">
        <v>0.28999999999999998</v>
      </c>
      <c r="G23" s="12">
        <v>0.95</v>
      </c>
      <c r="H23" s="43">
        <v>0.95</v>
      </c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Y23" s="8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9"/>
      <c r="AW23" s="9"/>
      <c r="AX23" s="9"/>
    </row>
    <row r="24" spans="1:50" x14ac:dyDescent="0.5">
      <c r="A24" s="21" t="s">
        <v>12</v>
      </c>
      <c r="B24" s="14" t="s">
        <v>10</v>
      </c>
      <c r="C24" s="40">
        <v>8</v>
      </c>
      <c r="D24" s="37">
        <v>105.05</v>
      </c>
      <c r="E24" s="12">
        <v>5.17</v>
      </c>
      <c r="F24" s="15">
        <v>0.27</v>
      </c>
      <c r="G24" s="12">
        <v>0.95</v>
      </c>
      <c r="H24" s="43">
        <v>0.95</v>
      </c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Y24" s="8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"/>
      <c r="AU24" s="1"/>
      <c r="AV24" s="1"/>
      <c r="AW24" s="1"/>
      <c r="AX24" s="1"/>
    </row>
    <row r="25" spans="1:50" x14ac:dyDescent="0.5">
      <c r="A25" s="21" t="s">
        <v>12</v>
      </c>
      <c r="B25" s="14" t="s">
        <v>10</v>
      </c>
      <c r="C25" s="40">
        <v>16</v>
      </c>
      <c r="D25" s="37">
        <v>104.77</v>
      </c>
      <c r="E25" s="12">
        <v>5.25</v>
      </c>
      <c r="F25" s="15">
        <v>0.26</v>
      </c>
      <c r="G25" s="12">
        <v>0.95</v>
      </c>
      <c r="H25" s="43">
        <v>0.95</v>
      </c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Y25" s="8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"/>
      <c r="AU25" s="1"/>
      <c r="AV25" s="1"/>
      <c r="AW25" s="1"/>
      <c r="AX25" s="1"/>
    </row>
    <row r="26" spans="1:50" ht="16.149999999999999" thickBot="1" x14ac:dyDescent="0.55000000000000004">
      <c r="A26" s="22" t="s">
        <v>12</v>
      </c>
      <c r="B26" s="23" t="s">
        <v>10</v>
      </c>
      <c r="C26" s="41">
        <v>32</v>
      </c>
      <c r="D26" s="38">
        <v>104.57</v>
      </c>
      <c r="E26" s="25">
        <v>4.1399999999999997</v>
      </c>
      <c r="F26" s="24">
        <v>0.25</v>
      </c>
      <c r="G26" s="25">
        <v>0.95</v>
      </c>
      <c r="H26" s="44">
        <v>0.95</v>
      </c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Y26" s="8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  <c r="AR26" s="10"/>
      <c r="AS26" s="10"/>
      <c r="AT26" s="1"/>
      <c r="AU26" s="1"/>
      <c r="AV26" s="1"/>
      <c r="AW26" s="1"/>
      <c r="AX26" s="1"/>
    </row>
    <row r="27" spans="1:50" x14ac:dyDescent="0.5">
      <c r="A27" s="17" t="s">
        <v>13</v>
      </c>
      <c r="B27" s="18" t="s">
        <v>8</v>
      </c>
      <c r="C27" s="39">
        <v>4</v>
      </c>
      <c r="D27" s="48">
        <v>100.58</v>
      </c>
      <c r="E27" s="20">
        <v>5.28</v>
      </c>
      <c r="F27" s="19">
        <v>0.3</v>
      </c>
      <c r="G27" s="20">
        <v>0.94</v>
      </c>
      <c r="H27" s="42">
        <v>0.94</v>
      </c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</row>
    <row r="28" spans="1:50" x14ac:dyDescent="0.5">
      <c r="A28" s="21" t="s">
        <v>13</v>
      </c>
      <c r="B28" s="13" t="s">
        <v>8</v>
      </c>
      <c r="C28" s="40">
        <v>8</v>
      </c>
      <c r="D28" s="49">
        <v>100.63</v>
      </c>
      <c r="E28" s="12">
        <v>5.21</v>
      </c>
      <c r="F28" s="15">
        <v>0.3</v>
      </c>
      <c r="G28" s="12">
        <v>0.94</v>
      </c>
      <c r="H28" s="43">
        <v>0.94</v>
      </c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</row>
    <row r="29" spans="1:50" x14ac:dyDescent="0.5">
      <c r="A29" s="21" t="s">
        <v>13</v>
      </c>
      <c r="B29" s="13" t="s">
        <v>8</v>
      </c>
      <c r="C29" s="40">
        <v>16</v>
      </c>
      <c r="D29" s="49">
        <v>100.37</v>
      </c>
      <c r="E29" s="12">
        <v>5.25</v>
      </c>
      <c r="F29" s="15">
        <v>0.38</v>
      </c>
      <c r="G29" s="12">
        <v>0.95</v>
      </c>
      <c r="H29" s="43">
        <v>0.95</v>
      </c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</row>
    <row r="30" spans="1:50" x14ac:dyDescent="0.5">
      <c r="A30" s="21" t="s">
        <v>13</v>
      </c>
      <c r="B30" s="13" t="s">
        <v>8</v>
      </c>
      <c r="C30" s="40">
        <v>32</v>
      </c>
      <c r="D30" s="49">
        <v>100.35</v>
      </c>
      <c r="E30" s="12">
        <v>5.24</v>
      </c>
      <c r="F30" s="15">
        <v>0.27</v>
      </c>
      <c r="G30" s="12">
        <v>0.95</v>
      </c>
      <c r="H30" s="43">
        <v>0.95</v>
      </c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</row>
    <row r="31" spans="1:50" x14ac:dyDescent="0.5">
      <c r="A31" s="21" t="s">
        <v>13</v>
      </c>
      <c r="B31" s="14" t="s">
        <v>9</v>
      </c>
      <c r="C31" s="40">
        <v>4</v>
      </c>
      <c r="D31" s="49">
        <v>103.63</v>
      </c>
      <c r="E31" s="12">
        <v>7.41</v>
      </c>
      <c r="F31" s="15">
        <v>0.28999999999999998</v>
      </c>
      <c r="G31" s="12">
        <v>0.94</v>
      </c>
      <c r="H31" s="43">
        <v>0.94</v>
      </c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</row>
    <row r="32" spans="1:50" x14ac:dyDescent="0.5">
      <c r="A32" s="21" t="s">
        <v>13</v>
      </c>
      <c r="B32" s="14" t="s">
        <v>9</v>
      </c>
      <c r="C32" s="40">
        <v>8</v>
      </c>
      <c r="D32" s="49">
        <v>103.57</v>
      </c>
      <c r="E32" s="12">
        <v>4.16</v>
      </c>
      <c r="F32" s="15">
        <v>0.28999999999999998</v>
      </c>
      <c r="G32" s="12">
        <v>0.94</v>
      </c>
      <c r="H32" s="43">
        <v>0.94</v>
      </c>
    </row>
    <row r="33" spans="1:8" x14ac:dyDescent="0.5">
      <c r="A33" s="21" t="s">
        <v>13</v>
      </c>
      <c r="B33" s="14" t="s">
        <v>9</v>
      </c>
      <c r="C33" s="40">
        <v>16</v>
      </c>
      <c r="D33" s="49">
        <v>100.43</v>
      </c>
      <c r="E33" s="12">
        <v>4.16</v>
      </c>
      <c r="F33" s="15">
        <v>0.27</v>
      </c>
      <c r="G33" s="12">
        <v>0.95</v>
      </c>
      <c r="H33" s="43">
        <v>0.95</v>
      </c>
    </row>
    <row r="34" spans="1:8" x14ac:dyDescent="0.5">
      <c r="A34" s="21" t="s">
        <v>13</v>
      </c>
      <c r="B34" s="14" t="s">
        <v>9</v>
      </c>
      <c r="C34" s="40">
        <v>32</v>
      </c>
      <c r="D34" s="49">
        <v>103.3</v>
      </c>
      <c r="E34" s="12">
        <v>4.18</v>
      </c>
      <c r="F34" s="15">
        <v>0.27</v>
      </c>
      <c r="G34" s="12">
        <v>0.95</v>
      </c>
      <c r="H34" s="43">
        <v>0.95</v>
      </c>
    </row>
    <row r="35" spans="1:8" x14ac:dyDescent="0.5">
      <c r="A35" s="21" t="s">
        <v>13</v>
      </c>
      <c r="B35" s="14" t="s">
        <v>10</v>
      </c>
      <c r="C35" s="40">
        <v>4</v>
      </c>
      <c r="D35" s="49">
        <v>107.17</v>
      </c>
      <c r="E35" s="12">
        <v>5.22</v>
      </c>
      <c r="F35" s="15">
        <v>0.28000000000000003</v>
      </c>
      <c r="G35" s="12">
        <v>0.94</v>
      </c>
      <c r="H35" s="43">
        <v>0.94</v>
      </c>
    </row>
    <row r="36" spans="1:8" x14ac:dyDescent="0.5">
      <c r="A36" s="21" t="s">
        <v>13</v>
      </c>
      <c r="B36" s="14" t="s">
        <v>10</v>
      </c>
      <c r="C36" s="40">
        <v>8</v>
      </c>
      <c r="D36" s="49">
        <v>106.75</v>
      </c>
      <c r="E36" s="12">
        <v>5.27</v>
      </c>
      <c r="F36" s="15">
        <v>0.27</v>
      </c>
      <c r="G36" s="12">
        <v>0.95</v>
      </c>
      <c r="H36" s="43">
        <v>0.95</v>
      </c>
    </row>
    <row r="37" spans="1:8" x14ac:dyDescent="0.5">
      <c r="A37" s="21" t="s">
        <v>13</v>
      </c>
      <c r="B37" s="14" t="s">
        <v>10</v>
      </c>
      <c r="C37" s="40">
        <v>16</v>
      </c>
      <c r="D37" s="49">
        <v>106.63</v>
      </c>
      <c r="E37" s="12">
        <v>5.27</v>
      </c>
      <c r="F37" s="15">
        <v>0.26</v>
      </c>
      <c r="G37" s="12">
        <v>0.95</v>
      </c>
      <c r="H37" s="43">
        <v>0.95</v>
      </c>
    </row>
    <row r="38" spans="1:8" ht="16.149999999999999" thickBot="1" x14ac:dyDescent="0.55000000000000004">
      <c r="A38" s="22" t="s">
        <v>13</v>
      </c>
      <c r="B38" s="23" t="s">
        <v>10</v>
      </c>
      <c r="C38" s="41">
        <v>32</v>
      </c>
      <c r="D38" s="50">
        <v>106.33</v>
      </c>
      <c r="E38" s="25">
        <v>4.2</v>
      </c>
      <c r="F38" s="45">
        <v>0.25</v>
      </c>
      <c r="G38" s="46">
        <v>0.95</v>
      </c>
      <c r="H38" s="47">
        <v>0.95</v>
      </c>
    </row>
  </sheetData>
  <phoneticPr fontId="6" type="noConversion"/>
  <conditionalFormatting sqref="D3:D38">
    <cfRule type="cellIs" dxfId="14" priority="6" operator="greaterThan">
      <formula>82.885</formula>
    </cfRule>
  </conditionalFormatting>
  <conditionalFormatting sqref="E3:E38">
    <cfRule type="cellIs" dxfId="13" priority="5" operator="greaterThan">
      <formula>6.52</formula>
    </cfRule>
  </conditionalFormatting>
  <conditionalFormatting sqref="F3:F38">
    <cfRule type="cellIs" dxfId="12" priority="4" operator="greaterThan">
      <formula>0.3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8DA8-77C9-49FB-8185-2CD3BDA8A133}">
  <dimension ref="A1:AJ50"/>
  <sheetViews>
    <sheetView zoomScale="85" zoomScaleNormal="85" workbookViewId="0">
      <pane ySplit="2" topLeftCell="A12" activePane="bottomLeft" state="frozen"/>
      <selection pane="bottomLeft" activeCell="H51" sqref="H51"/>
    </sheetView>
  </sheetViews>
  <sheetFormatPr defaultRowHeight="15.75" x14ac:dyDescent="0.5"/>
  <cols>
    <col min="1" max="1" width="13.75" customWidth="1"/>
    <col min="2" max="2" width="9.875" customWidth="1"/>
    <col min="3" max="3" width="6.25" customWidth="1"/>
    <col min="4" max="8" width="9" style="76"/>
  </cols>
  <sheetData>
    <row r="1" spans="1:36" ht="16.149999999999999" thickBot="1" x14ac:dyDescent="0.55000000000000004">
      <c r="A1" s="31" t="s">
        <v>15</v>
      </c>
      <c r="B1" s="27" t="s">
        <v>0</v>
      </c>
      <c r="C1" s="7" t="s">
        <v>2</v>
      </c>
      <c r="D1" s="51" t="s">
        <v>3</v>
      </c>
      <c r="E1" s="52" t="s">
        <v>11</v>
      </c>
      <c r="F1" s="53" t="s">
        <v>5</v>
      </c>
      <c r="G1" s="52" t="s">
        <v>7</v>
      </c>
      <c r="H1" s="54" t="s">
        <v>6</v>
      </c>
    </row>
    <row r="2" spans="1:36" ht="16.149999999999999" thickBot="1" x14ac:dyDescent="0.55000000000000004">
      <c r="A2" s="26" t="s">
        <v>1</v>
      </c>
      <c r="B2" s="27"/>
      <c r="C2" s="7"/>
      <c r="D2" s="55">
        <v>2.8</v>
      </c>
      <c r="E2" s="56" t="s">
        <v>19</v>
      </c>
      <c r="F2" s="57" t="s">
        <v>19</v>
      </c>
      <c r="G2" s="56">
        <v>0.56000000000000005</v>
      </c>
      <c r="H2" s="58">
        <v>0.56000000000000005</v>
      </c>
    </row>
    <row r="3" spans="1:36" s="1" customFormat="1" x14ac:dyDescent="0.5">
      <c r="A3" s="17" t="s">
        <v>4</v>
      </c>
      <c r="B3" s="18" t="s">
        <v>8</v>
      </c>
      <c r="C3" s="39">
        <v>4</v>
      </c>
      <c r="D3" s="59">
        <v>3.43</v>
      </c>
      <c r="E3" s="60">
        <v>8.5299999999999994</v>
      </c>
      <c r="F3" s="61">
        <v>1.1399999999999999</v>
      </c>
      <c r="G3" s="60">
        <v>0.62</v>
      </c>
      <c r="H3" s="62">
        <v>0.62</v>
      </c>
    </row>
    <row r="4" spans="1:36" x14ac:dyDescent="0.5">
      <c r="A4" s="21" t="s">
        <v>4</v>
      </c>
      <c r="B4" s="13" t="s">
        <v>8</v>
      </c>
      <c r="C4" s="40">
        <v>8</v>
      </c>
      <c r="D4" s="63">
        <v>3.45</v>
      </c>
      <c r="E4" s="64">
        <v>8.5399999999999991</v>
      </c>
      <c r="F4" s="65">
        <v>0.92</v>
      </c>
      <c r="G4" s="64">
        <v>0.64</v>
      </c>
      <c r="H4" s="66">
        <v>0.64</v>
      </c>
    </row>
    <row r="5" spans="1:36" x14ac:dyDescent="0.5">
      <c r="A5" s="21" t="s">
        <v>4</v>
      </c>
      <c r="B5" s="13" t="s">
        <v>8</v>
      </c>
      <c r="C5" s="40">
        <v>16</v>
      </c>
      <c r="D5" s="63">
        <v>3.47</v>
      </c>
      <c r="E5" s="64">
        <v>8.5399999999999991</v>
      </c>
      <c r="F5" s="65">
        <v>0.77</v>
      </c>
      <c r="G5" s="64">
        <v>0.71</v>
      </c>
      <c r="H5" s="66">
        <v>0.71</v>
      </c>
    </row>
    <row r="6" spans="1:36" x14ac:dyDescent="0.5">
      <c r="A6" s="21" t="s">
        <v>4</v>
      </c>
      <c r="B6" s="13" t="s">
        <v>8</v>
      </c>
      <c r="C6" s="40">
        <v>32</v>
      </c>
      <c r="D6" s="63">
        <v>3.57</v>
      </c>
      <c r="E6" s="64">
        <v>8.5500000000000007</v>
      </c>
      <c r="F6" s="65">
        <v>0.66</v>
      </c>
      <c r="G6" s="64">
        <v>0.75</v>
      </c>
      <c r="H6" s="66">
        <v>0.75</v>
      </c>
    </row>
    <row r="7" spans="1:36" x14ac:dyDescent="0.5">
      <c r="A7" s="21" t="s">
        <v>4</v>
      </c>
      <c r="B7" s="14" t="s">
        <v>9</v>
      </c>
      <c r="C7" s="40">
        <v>4</v>
      </c>
      <c r="D7" s="63">
        <v>3.62</v>
      </c>
      <c r="E7" s="64">
        <v>8.73</v>
      </c>
      <c r="F7" s="65">
        <v>1.1299999999999999</v>
      </c>
      <c r="G7" s="64">
        <v>0.61</v>
      </c>
      <c r="H7" s="66">
        <v>0.61</v>
      </c>
    </row>
    <row r="8" spans="1:36" x14ac:dyDescent="0.5">
      <c r="A8" s="21" t="s">
        <v>4</v>
      </c>
      <c r="B8" s="14" t="s">
        <v>9</v>
      </c>
      <c r="C8" s="40">
        <v>8</v>
      </c>
      <c r="D8" s="63">
        <v>3.62</v>
      </c>
      <c r="E8" s="64">
        <v>8.74</v>
      </c>
      <c r="F8" s="65">
        <v>0.96</v>
      </c>
      <c r="G8" s="64">
        <v>0.65</v>
      </c>
      <c r="H8" s="66">
        <v>0.65</v>
      </c>
    </row>
    <row r="9" spans="1:36" x14ac:dyDescent="0.5">
      <c r="A9" s="21" t="s">
        <v>4</v>
      </c>
      <c r="B9" s="14" t="s">
        <v>9</v>
      </c>
      <c r="C9" s="40">
        <v>16</v>
      </c>
      <c r="D9" s="63">
        <v>3.63</v>
      </c>
      <c r="E9" s="64">
        <v>8.74</v>
      </c>
      <c r="F9" s="65">
        <v>1.01</v>
      </c>
      <c r="G9" s="64">
        <v>0.66</v>
      </c>
      <c r="H9" s="66">
        <v>0.66</v>
      </c>
    </row>
    <row r="10" spans="1:36" x14ac:dyDescent="0.5">
      <c r="A10" s="21" t="s">
        <v>4</v>
      </c>
      <c r="B10" s="14" t="s">
        <v>9</v>
      </c>
      <c r="C10" s="40">
        <v>32</v>
      </c>
      <c r="D10" s="63">
        <v>3.78</v>
      </c>
      <c r="E10" s="64">
        <v>8.7899999999999991</v>
      </c>
      <c r="F10" s="65">
        <v>0.75</v>
      </c>
      <c r="G10" s="64">
        <v>0.73</v>
      </c>
      <c r="H10" s="66">
        <v>0.73</v>
      </c>
    </row>
    <row r="11" spans="1:36" x14ac:dyDescent="0.5">
      <c r="A11" s="21" t="s">
        <v>4</v>
      </c>
      <c r="B11" s="14" t="s">
        <v>10</v>
      </c>
      <c r="C11" s="40">
        <v>4</v>
      </c>
      <c r="D11" s="63">
        <v>3.85</v>
      </c>
      <c r="E11" s="64">
        <v>8.9499999999999993</v>
      </c>
      <c r="F11" s="65">
        <v>0.98</v>
      </c>
      <c r="G11" s="64">
        <v>0.63</v>
      </c>
      <c r="H11" s="66">
        <v>0.63</v>
      </c>
    </row>
    <row r="12" spans="1:36" x14ac:dyDescent="0.5">
      <c r="A12" s="21" t="s">
        <v>4</v>
      </c>
      <c r="B12" s="14" t="s">
        <v>10</v>
      </c>
      <c r="C12" s="40">
        <v>8</v>
      </c>
      <c r="D12" s="63">
        <v>3.85</v>
      </c>
      <c r="E12" s="64">
        <v>8.9499999999999993</v>
      </c>
      <c r="F12" s="65">
        <v>0.88</v>
      </c>
      <c r="G12" s="64">
        <v>0.67</v>
      </c>
      <c r="H12" s="66">
        <v>0.67</v>
      </c>
      <c r="K12" s="3"/>
      <c r="L12" s="5"/>
      <c r="M12" s="6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</row>
    <row r="13" spans="1:36" x14ac:dyDescent="0.5">
      <c r="A13" s="21" t="s">
        <v>4</v>
      </c>
      <c r="B13" s="14" t="s">
        <v>10</v>
      </c>
      <c r="C13" s="40">
        <v>16</v>
      </c>
      <c r="D13" s="63">
        <v>3.88</v>
      </c>
      <c r="E13" s="64">
        <v>8.9700000000000006</v>
      </c>
      <c r="F13" s="65">
        <v>0.71</v>
      </c>
      <c r="G13" s="64">
        <v>0.73</v>
      </c>
      <c r="H13" s="66">
        <v>0.73</v>
      </c>
      <c r="K13" s="4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</row>
    <row r="14" spans="1:36" ht="16.149999999999999" thickBot="1" x14ac:dyDescent="0.55000000000000004">
      <c r="A14" s="22" t="s">
        <v>4</v>
      </c>
      <c r="B14" s="23" t="s">
        <v>10</v>
      </c>
      <c r="C14" s="41">
        <v>32</v>
      </c>
      <c r="D14" s="67">
        <v>4.0999999999999996</v>
      </c>
      <c r="E14" s="68">
        <v>9.0299999999999994</v>
      </c>
      <c r="F14" s="69">
        <v>0.61</v>
      </c>
      <c r="G14" s="68">
        <v>0.77</v>
      </c>
      <c r="H14" s="70">
        <v>0.77</v>
      </c>
      <c r="K14" s="2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</row>
    <row r="15" spans="1:36" ht="16.149999999999999" thickBot="1" x14ac:dyDescent="0.55000000000000004">
      <c r="A15" s="17" t="s">
        <v>20</v>
      </c>
      <c r="B15" s="18" t="s">
        <v>8</v>
      </c>
      <c r="C15" s="39">
        <v>4</v>
      </c>
      <c r="D15" s="59">
        <f>261/60</f>
        <v>4.3499999999999996</v>
      </c>
      <c r="E15" s="60">
        <v>8.2100000000000009</v>
      </c>
      <c r="F15" s="61">
        <v>0.77</v>
      </c>
      <c r="G15" s="60">
        <v>0.74</v>
      </c>
      <c r="H15" s="62">
        <v>0.74</v>
      </c>
      <c r="K15" s="2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</row>
    <row r="16" spans="1:36" ht="16.149999999999999" thickBot="1" x14ac:dyDescent="0.55000000000000004">
      <c r="A16" s="17" t="s">
        <v>20</v>
      </c>
      <c r="B16" s="13" t="s">
        <v>8</v>
      </c>
      <c r="C16" s="40">
        <v>8</v>
      </c>
      <c r="D16" s="63">
        <f>302/60</f>
        <v>5.0333333333333332</v>
      </c>
      <c r="E16" s="64">
        <v>8.2200000000000006</v>
      </c>
      <c r="F16" s="65">
        <v>35.200000000000003</v>
      </c>
      <c r="G16" s="64">
        <v>0.81</v>
      </c>
      <c r="H16" s="66">
        <v>0.81</v>
      </c>
      <c r="K16" s="2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</row>
    <row r="17" spans="1:36" ht="16.149999999999999" thickBot="1" x14ac:dyDescent="0.55000000000000004">
      <c r="A17" s="17" t="s">
        <v>20</v>
      </c>
      <c r="B17" s="13" t="s">
        <v>8</v>
      </c>
      <c r="C17" s="40">
        <v>16</v>
      </c>
      <c r="D17" s="63">
        <f>387/60</f>
        <v>6.45</v>
      </c>
      <c r="E17" s="64">
        <v>8.24</v>
      </c>
      <c r="F17" s="65">
        <v>27.12</v>
      </c>
      <c r="G17" s="64">
        <v>0.62</v>
      </c>
      <c r="H17" s="66">
        <v>0.62</v>
      </c>
      <c r="K17" s="2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</row>
    <row r="18" spans="1:36" ht="16.149999999999999" thickBot="1" x14ac:dyDescent="0.55000000000000004">
      <c r="A18" s="17" t="s">
        <v>20</v>
      </c>
      <c r="B18" s="13" t="s">
        <v>8</v>
      </c>
      <c r="C18" s="40">
        <v>32</v>
      </c>
      <c r="D18" s="63">
        <f>556/60</f>
        <v>9.2666666666666675</v>
      </c>
      <c r="E18" s="64">
        <v>8.2899999999999991</v>
      </c>
      <c r="F18" s="65">
        <v>12.05</v>
      </c>
      <c r="G18" s="64">
        <v>0.82</v>
      </c>
      <c r="H18" s="66">
        <v>0.82</v>
      </c>
      <c r="K18" s="2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</row>
    <row r="19" spans="1:36" ht="16.149999999999999" thickBot="1" x14ac:dyDescent="0.55000000000000004">
      <c r="A19" s="17" t="s">
        <v>20</v>
      </c>
      <c r="B19" s="14" t="s">
        <v>9</v>
      </c>
      <c r="C19" s="40">
        <v>4</v>
      </c>
      <c r="D19" s="63">
        <f>300/60</f>
        <v>5</v>
      </c>
      <c r="E19" s="64">
        <v>8.2200000000000006</v>
      </c>
      <c r="F19" s="65">
        <v>16.670000000000002</v>
      </c>
      <c r="G19" s="64">
        <v>0.79</v>
      </c>
      <c r="H19" s="66">
        <v>0.8</v>
      </c>
      <c r="K19" s="2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</row>
    <row r="20" spans="1:36" ht="16.149999999999999" thickBot="1" x14ac:dyDescent="0.55000000000000004">
      <c r="A20" s="17" t="s">
        <v>20</v>
      </c>
      <c r="B20" s="14" t="s">
        <v>9</v>
      </c>
      <c r="C20" s="40">
        <v>8</v>
      </c>
      <c r="D20" s="63">
        <f>363/60</f>
        <v>6.05</v>
      </c>
      <c r="E20" s="64">
        <v>8.23</v>
      </c>
      <c r="F20" s="65">
        <v>67.63</v>
      </c>
      <c r="G20" s="64">
        <v>0.41</v>
      </c>
      <c r="H20" s="66">
        <v>0.41</v>
      </c>
      <c r="K20" s="2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</row>
    <row r="21" spans="1:36" ht="16.149999999999999" thickBot="1" x14ac:dyDescent="0.55000000000000004">
      <c r="A21" s="17" t="s">
        <v>20</v>
      </c>
      <c r="B21" s="14" t="s">
        <v>9</v>
      </c>
      <c r="C21" s="40">
        <v>16</v>
      </c>
      <c r="D21" s="63">
        <f>488/60</f>
        <v>8.1333333333333329</v>
      </c>
      <c r="E21" s="64">
        <v>8.26</v>
      </c>
      <c r="F21" s="65">
        <v>0.87</v>
      </c>
      <c r="G21" s="64">
        <v>0.84</v>
      </c>
      <c r="H21" s="66">
        <v>0.84</v>
      </c>
      <c r="K21" s="2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</row>
    <row r="22" spans="1:36" ht="16.149999999999999" thickBot="1" x14ac:dyDescent="0.55000000000000004">
      <c r="A22" s="17" t="s">
        <v>20</v>
      </c>
      <c r="B22" s="14" t="s">
        <v>9</v>
      </c>
      <c r="C22" s="40">
        <v>32</v>
      </c>
      <c r="D22" s="63">
        <f>740/60</f>
        <v>12.333333333333334</v>
      </c>
      <c r="E22" s="64">
        <v>8.32</v>
      </c>
      <c r="F22" s="65">
        <v>15.52</v>
      </c>
      <c r="G22" s="64">
        <v>0.79</v>
      </c>
      <c r="H22" s="66">
        <v>0.79</v>
      </c>
      <c r="K22" s="2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</row>
    <row r="23" spans="1:36" ht="16.149999999999999" thickBot="1" x14ac:dyDescent="0.55000000000000004">
      <c r="A23" s="17" t="s">
        <v>20</v>
      </c>
      <c r="B23" s="14" t="s">
        <v>10</v>
      </c>
      <c r="C23" s="40">
        <v>4</v>
      </c>
      <c r="D23" s="63">
        <f>342/60</f>
        <v>5.7</v>
      </c>
      <c r="E23" s="64">
        <v>8.2200000000000006</v>
      </c>
      <c r="F23" s="65">
        <v>0.8</v>
      </c>
      <c r="G23" s="64">
        <v>0.76</v>
      </c>
      <c r="H23" s="66">
        <v>0.76</v>
      </c>
      <c r="K23" s="2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</row>
    <row r="24" spans="1:36" ht="16.149999999999999" thickBot="1" x14ac:dyDescent="0.55000000000000004">
      <c r="A24" s="17" t="s">
        <v>20</v>
      </c>
      <c r="B24" s="14" t="s">
        <v>10</v>
      </c>
      <c r="C24" s="40">
        <v>8</v>
      </c>
      <c r="D24" s="63">
        <f>426/60</f>
        <v>7.1</v>
      </c>
      <c r="E24" s="64">
        <v>8.24</v>
      </c>
      <c r="F24" s="65">
        <v>0.73</v>
      </c>
      <c r="G24" s="64">
        <v>0.83</v>
      </c>
      <c r="H24" s="66">
        <v>0.83</v>
      </c>
      <c r="K24" s="2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</row>
    <row r="25" spans="1:36" ht="16.149999999999999" thickBot="1" x14ac:dyDescent="0.55000000000000004">
      <c r="A25" s="17" t="s">
        <v>20</v>
      </c>
      <c r="B25" s="14" t="s">
        <v>10</v>
      </c>
      <c r="C25" s="40">
        <v>16</v>
      </c>
      <c r="D25" s="63">
        <f>595/60</f>
        <v>9.9166666666666661</v>
      </c>
      <c r="E25" s="64">
        <v>8.2799999999999994</v>
      </c>
      <c r="F25" s="65">
        <v>62.4</v>
      </c>
      <c r="G25" s="64">
        <v>0.61</v>
      </c>
      <c r="H25" s="66">
        <v>0.6</v>
      </c>
      <c r="K25" s="2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</row>
    <row r="26" spans="1:36" ht="16.149999999999999" thickBot="1" x14ac:dyDescent="0.55000000000000004">
      <c r="A26" s="17" t="s">
        <v>20</v>
      </c>
      <c r="B26" s="23" t="s">
        <v>10</v>
      </c>
      <c r="C26" s="41">
        <v>32</v>
      </c>
      <c r="D26" s="67">
        <f>902/60</f>
        <v>15.033333333333333</v>
      </c>
      <c r="E26" s="68">
        <v>8.36</v>
      </c>
      <c r="F26" s="69">
        <v>0</v>
      </c>
      <c r="G26" s="68">
        <v>0.25</v>
      </c>
      <c r="H26" s="70">
        <v>0.1</v>
      </c>
      <c r="K26" s="2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</row>
    <row r="27" spans="1:36" x14ac:dyDescent="0.5">
      <c r="A27" s="17" t="s">
        <v>12</v>
      </c>
      <c r="B27" s="18" t="s">
        <v>8</v>
      </c>
      <c r="C27" s="39">
        <v>4</v>
      </c>
      <c r="D27" s="59">
        <f>374/60</f>
        <v>6.2333333333333334</v>
      </c>
      <c r="E27" s="60">
        <v>3.67</v>
      </c>
      <c r="F27" s="61">
        <v>1.26</v>
      </c>
      <c r="G27" s="60">
        <v>0.51</v>
      </c>
      <c r="H27" s="62">
        <v>0.51</v>
      </c>
      <c r="K27" s="8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</row>
    <row r="28" spans="1:36" x14ac:dyDescent="0.5">
      <c r="A28" s="21" t="s">
        <v>12</v>
      </c>
      <c r="B28" s="13" t="s">
        <v>8</v>
      </c>
      <c r="C28" s="40">
        <v>8</v>
      </c>
      <c r="D28" s="63">
        <f>373/60</f>
        <v>6.2166666666666668</v>
      </c>
      <c r="E28" s="64">
        <v>3.68</v>
      </c>
      <c r="F28" s="65">
        <v>1.25</v>
      </c>
      <c r="G28" s="64">
        <v>0.49</v>
      </c>
      <c r="H28" s="66">
        <v>0.49</v>
      </c>
      <c r="K28" s="8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"/>
      <c r="AG28" s="1"/>
      <c r="AH28" s="1"/>
      <c r="AI28" s="1"/>
      <c r="AJ28" s="1"/>
    </row>
    <row r="29" spans="1:36" x14ac:dyDescent="0.5">
      <c r="A29" s="21" t="s">
        <v>12</v>
      </c>
      <c r="B29" s="13" t="s">
        <v>8</v>
      </c>
      <c r="C29" s="40">
        <v>16</v>
      </c>
      <c r="D29" s="63">
        <f>373/60</f>
        <v>6.2166666666666668</v>
      </c>
      <c r="E29" s="64">
        <v>3.69</v>
      </c>
      <c r="F29" s="65">
        <v>1.08</v>
      </c>
      <c r="G29" s="64">
        <v>0.57999999999999996</v>
      </c>
      <c r="H29" s="66">
        <v>0.57999999999999996</v>
      </c>
      <c r="K29" s="8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"/>
      <c r="AG29" s="1"/>
      <c r="AH29" s="1"/>
      <c r="AI29" s="1"/>
      <c r="AJ29" s="1"/>
    </row>
    <row r="30" spans="1:36" x14ac:dyDescent="0.5">
      <c r="A30" s="21" t="s">
        <v>12</v>
      </c>
      <c r="B30" s="13" t="s">
        <v>8</v>
      </c>
      <c r="C30" s="40">
        <v>32</v>
      </c>
      <c r="D30" s="63">
        <f>373/60</f>
        <v>6.2166666666666668</v>
      </c>
      <c r="E30" s="64">
        <v>3.73</v>
      </c>
      <c r="F30" s="65">
        <v>0.87</v>
      </c>
      <c r="G30" s="64">
        <v>0.67</v>
      </c>
      <c r="H30" s="66">
        <v>0.67</v>
      </c>
      <c r="K30" s="8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"/>
      <c r="AG30" s="1"/>
      <c r="AH30" s="1"/>
      <c r="AI30" s="1"/>
      <c r="AJ30" s="1"/>
    </row>
    <row r="31" spans="1:36" x14ac:dyDescent="0.5">
      <c r="A31" s="21" t="s">
        <v>12</v>
      </c>
      <c r="B31" s="14" t="s">
        <v>9</v>
      </c>
      <c r="C31" s="40">
        <v>4</v>
      </c>
      <c r="D31" s="63">
        <f>379/60</f>
        <v>6.3166666666666664</v>
      </c>
      <c r="E31" s="64">
        <v>3.81</v>
      </c>
      <c r="F31" s="65">
        <v>1.35</v>
      </c>
      <c r="G31" s="64">
        <v>0.44</v>
      </c>
      <c r="H31" s="66">
        <v>0.44</v>
      </c>
      <c r="K31" s="2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</row>
    <row r="32" spans="1:36" x14ac:dyDescent="0.5">
      <c r="A32" s="21" t="s">
        <v>12</v>
      </c>
      <c r="B32" s="14" t="s">
        <v>9</v>
      </c>
      <c r="C32" s="40">
        <v>8</v>
      </c>
      <c r="D32" s="63">
        <f>379/60</f>
        <v>6.3166666666666664</v>
      </c>
      <c r="E32" s="64">
        <v>3.81</v>
      </c>
      <c r="F32" s="65">
        <v>1.35</v>
      </c>
      <c r="G32" s="64">
        <v>0.49</v>
      </c>
      <c r="H32" s="66">
        <v>0.49</v>
      </c>
      <c r="K32" s="3"/>
      <c r="L32" s="5"/>
      <c r="M32" s="6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</row>
    <row r="33" spans="1:36" x14ac:dyDescent="0.5">
      <c r="A33" s="21" t="s">
        <v>12</v>
      </c>
      <c r="B33" s="14" t="s">
        <v>9</v>
      </c>
      <c r="C33" s="40">
        <v>16</v>
      </c>
      <c r="D33" s="63">
        <f>379/60</f>
        <v>6.3166666666666664</v>
      </c>
      <c r="E33" s="64">
        <v>3.84</v>
      </c>
      <c r="F33" s="65">
        <v>1.17</v>
      </c>
      <c r="G33" s="64">
        <v>0.55000000000000004</v>
      </c>
      <c r="H33" s="66">
        <v>0.55000000000000004</v>
      </c>
      <c r="K33" s="4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</row>
    <row r="34" spans="1:36" x14ac:dyDescent="0.5">
      <c r="A34" s="21" t="s">
        <v>12</v>
      </c>
      <c r="B34" s="14" t="s">
        <v>9</v>
      </c>
      <c r="C34" s="40">
        <v>32</v>
      </c>
      <c r="D34" s="63">
        <f>379/60</f>
        <v>6.3166666666666664</v>
      </c>
      <c r="E34" s="64">
        <v>3.87</v>
      </c>
      <c r="F34" s="65">
        <v>0.97</v>
      </c>
      <c r="G34" s="64">
        <v>0.63</v>
      </c>
      <c r="H34" s="66">
        <v>0.63</v>
      </c>
      <c r="K34" s="2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</row>
    <row r="35" spans="1:36" x14ac:dyDescent="0.5">
      <c r="A35" s="21" t="s">
        <v>12</v>
      </c>
      <c r="B35" s="14" t="s">
        <v>10</v>
      </c>
      <c r="C35" s="40">
        <v>4</v>
      </c>
      <c r="D35" s="63">
        <f>387/60</f>
        <v>6.45</v>
      </c>
      <c r="E35" s="64">
        <v>3.93</v>
      </c>
      <c r="F35" s="65">
        <v>1.26</v>
      </c>
      <c r="G35" s="64">
        <v>0.52</v>
      </c>
      <c r="H35" s="66">
        <v>0.52</v>
      </c>
      <c r="K35" s="8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</row>
    <row r="36" spans="1:36" x14ac:dyDescent="0.5">
      <c r="A36" s="21" t="s">
        <v>12</v>
      </c>
      <c r="B36" s="14" t="s">
        <v>10</v>
      </c>
      <c r="C36" s="40">
        <v>8</v>
      </c>
      <c r="D36" s="63">
        <f>387/60</f>
        <v>6.45</v>
      </c>
      <c r="E36" s="64">
        <v>3.95</v>
      </c>
      <c r="F36" s="65">
        <v>0.89</v>
      </c>
      <c r="G36" s="64">
        <v>0.66</v>
      </c>
      <c r="H36" s="66">
        <v>0.66</v>
      </c>
      <c r="K36" s="8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"/>
      <c r="AG36" s="1"/>
      <c r="AH36" s="1"/>
      <c r="AI36" s="1"/>
      <c r="AJ36" s="1"/>
    </row>
    <row r="37" spans="1:36" x14ac:dyDescent="0.5">
      <c r="A37" s="21" t="s">
        <v>12</v>
      </c>
      <c r="B37" s="14" t="s">
        <v>10</v>
      </c>
      <c r="C37" s="40">
        <v>16</v>
      </c>
      <c r="D37" s="63">
        <f>388/60</f>
        <v>6.4666666666666668</v>
      </c>
      <c r="E37" s="64">
        <v>3.98</v>
      </c>
      <c r="F37" s="65">
        <v>0.68</v>
      </c>
      <c r="G37" s="64">
        <v>0.74</v>
      </c>
      <c r="H37" s="66">
        <v>0.74</v>
      </c>
      <c r="K37" s="8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"/>
      <c r="AG37" s="1"/>
      <c r="AH37" s="1"/>
      <c r="AI37" s="1"/>
      <c r="AJ37" s="1"/>
    </row>
    <row r="38" spans="1:36" ht="16.149999999999999" thickBot="1" x14ac:dyDescent="0.55000000000000004">
      <c r="A38" s="22" t="s">
        <v>12</v>
      </c>
      <c r="B38" s="23" t="s">
        <v>10</v>
      </c>
      <c r="C38" s="41">
        <v>32</v>
      </c>
      <c r="D38" s="67">
        <f>387/60</f>
        <v>6.45</v>
      </c>
      <c r="E38" s="68">
        <v>4.04</v>
      </c>
      <c r="F38" s="69">
        <v>0.52</v>
      </c>
      <c r="G38" s="68">
        <v>0.81</v>
      </c>
      <c r="H38" s="70">
        <v>0.81</v>
      </c>
      <c r="K38" s="8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"/>
      <c r="AG38" s="1"/>
      <c r="AH38" s="1"/>
      <c r="AI38" s="1"/>
      <c r="AJ38" s="1"/>
    </row>
    <row r="39" spans="1:36" x14ac:dyDescent="0.5">
      <c r="A39" s="17" t="s">
        <v>13</v>
      </c>
      <c r="B39" s="18" t="s">
        <v>8</v>
      </c>
      <c r="C39" s="39">
        <v>4</v>
      </c>
      <c r="D39" s="71">
        <f>380/60</f>
        <v>6.333333333333333</v>
      </c>
      <c r="E39" s="60">
        <v>3.68</v>
      </c>
      <c r="F39" s="61">
        <v>1.49</v>
      </c>
      <c r="G39" s="60">
        <v>0.39</v>
      </c>
      <c r="H39" s="62">
        <v>0.39</v>
      </c>
    </row>
    <row r="40" spans="1:36" x14ac:dyDescent="0.5">
      <c r="A40" s="21" t="s">
        <v>13</v>
      </c>
      <c r="B40" s="13" t="s">
        <v>8</v>
      </c>
      <c r="C40" s="40">
        <v>8</v>
      </c>
      <c r="D40" s="72">
        <f>379/60</f>
        <v>6.3166666666666664</v>
      </c>
      <c r="E40" s="64">
        <v>3.68</v>
      </c>
      <c r="F40" s="65">
        <v>1.31</v>
      </c>
      <c r="G40" s="64">
        <v>0.47</v>
      </c>
      <c r="H40" s="66">
        <v>0.47</v>
      </c>
    </row>
    <row r="41" spans="1:36" x14ac:dyDescent="0.5">
      <c r="A41" s="21" t="s">
        <v>13</v>
      </c>
      <c r="B41" s="13" t="s">
        <v>8</v>
      </c>
      <c r="C41" s="40">
        <v>16</v>
      </c>
      <c r="D41" s="72">
        <f>380/60</f>
        <v>6.333333333333333</v>
      </c>
      <c r="E41" s="64">
        <v>3.7</v>
      </c>
      <c r="F41" s="65">
        <v>1.1399999999999999</v>
      </c>
      <c r="G41" s="64">
        <v>0.55000000000000004</v>
      </c>
      <c r="H41" s="66">
        <v>0.55000000000000004</v>
      </c>
    </row>
    <row r="42" spans="1:36" x14ac:dyDescent="0.5">
      <c r="A42" s="21" t="s">
        <v>13</v>
      </c>
      <c r="B42" s="13" t="s">
        <v>8</v>
      </c>
      <c r="C42" s="40">
        <v>32</v>
      </c>
      <c r="D42" s="72">
        <f>379/60</f>
        <v>6.3166666666666664</v>
      </c>
      <c r="E42" s="64">
        <v>3.73</v>
      </c>
      <c r="F42" s="65">
        <v>0.91</v>
      </c>
      <c r="G42" s="64">
        <v>0.66</v>
      </c>
      <c r="H42" s="66">
        <v>0.66</v>
      </c>
    </row>
    <row r="43" spans="1:36" x14ac:dyDescent="0.5">
      <c r="A43" s="21" t="s">
        <v>13</v>
      </c>
      <c r="B43" s="14" t="s">
        <v>9</v>
      </c>
      <c r="C43" s="40">
        <v>4</v>
      </c>
      <c r="D43" s="72">
        <f>385/60</f>
        <v>6.416666666666667</v>
      </c>
      <c r="E43" s="64">
        <v>3.81</v>
      </c>
      <c r="F43" s="65">
        <v>1.43</v>
      </c>
      <c r="G43" s="64">
        <v>0.41</v>
      </c>
      <c r="H43" s="66">
        <v>0.41</v>
      </c>
    </row>
    <row r="44" spans="1:36" x14ac:dyDescent="0.5">
      <c r="A44" s="21" t="s">
        <v>13</v>
      </c>
      <c r="B44" s="14" t="s">
        <v>9</v>
      </c>
      <c r="C44" s="40">
        <v>8</v>
      </c>
      <c r="D44" s="72">
        <f>386/60</f>
        <v>6.4333333333333336</v>
      </c>
      <c r="E44" s="64">
        <v>3.82</v>
      </c>
      <c r="F44" s="65">
        <v>1.34</v>
      </c>
      <c r="G44" s="64">
        <v>0.49</v>
      </c>
      <c r="H44" s="66">
        <v>0.49</v>
      </c>
    </row>
    <row r="45" spans="1:36" x14ac:dyDescent="0.5">
      <c r="A45" s="21" t="s">
        <v>13</v>
      </c>
      <c r="B45" s="14" t="s">
        <v>9</v>
      </c>
      <c r="C45" s="40">
        <v>16</v>
      </c>
      <c r="D45" s="72">
        <f>385/60</f>
        <v>6.416666666666667</v>
      </c>
      <c r="E45" s="64">
        <v>3.84</v>
      </c>
      <c r="F45" s="65">
        <v>1.19</v>
      </c>
      <c r="G45" s="64">
        <v>0.55000000000000004</v>
      </c>
      <c r="H45" s="66">
        <v>0.55000000000000004</v>
      </c>
    </row>
    <row r="46" spans="1:36" x14ac:dyDescent="0.5">
      <c r="A46" s="21" t="s">
        <v>13</v>
      </c>
      <c r="B46" s="14" t="s">
        <v>9</v>
      </c>
      <c r="C46" s="40">
        <v>32</v>
      </c>
      <c r="D46" s="72">
        <f>384/60</f>
        <v>6.4</v>
      </c>
      <c r="E46" s="64">
        <v>3.88</v>
      </c>
      <c r="F46" s="65">
        <v>0.98</v>
      </c>
      <c r="G46" s="64">
        <v>0.63</v>
      </c>
      <c r="H46" s="66">
        <v>0.63</v>
      </c>
    </row>
    <row r="47" spans="1:36" x14ac:dyDescent="0.5">
      <c r="A47" s="21" t="s">
        <v>13</v>
      </c>
      <c r="B47" s="14" t="s">
        <v>10</v>
      </c>
      <c r="C47" s="40">
        <v>4</v>
      </c>
      <c r="D47" s="72">
        <f>396/60</f>
        <v>6.6</v>
      </c>
      <c r="E47" s="64">
        <v>3.96</v>
      </c>
      <c r="F47" s="65">
        <v>1.25</v>
      </c>
      <c r="G47" s="64">
        <v>0.53</v>
      </c>
      <c r="H47" s="66">
        <v>0.53</v>
      </c>
    </row>
    <row r="48" spans="1:36" x14ac:dyDescent="0.5">
      <c r="A48" s="21" t="s">
        <v>13</v>
      </c>
      <c r="B48" s="14" t="s">
        <v>10</v>
      </c>
      <c r="C48" s="40">
        <v>8</v>
      </c>
      <c r="D48" s="72">
        <f>395/60</f>
        <v>6.583333333333333</v>
      </c>
      <c r="E48" s="64">
        <v>3.95</v>
      </c>
      <c r="F48" s="65">
        <v>0.86</v>
      </c>
      <c r="G48" s="64">
        <v>0.67</v>
      </c>
      <c r="H48" s="66">
        <v>0.67</v>
      </c>
    </row>
    <row r="49" spans="1:8" x14ac:dyDescent="0.5">
      <c r="A49" s="21" t="s">
        <v>13</v>
      </c>
      <c r="B49" s="14" t="s">
        <v>10</v>
      </c>
      <c r="C49" s="40">
        <v>16</v>
      </c>
      <c r="D49" s="72">
        <f>395/60</f>
        <v>6.583333333333333</v>
      </c>
      <c r="E49" s="64">
        <v>3.98</v>
      </c>
      <c r="F49" s="65">
        <v>0.65</v>
      </c>
      <c r="G49" s="64">
        <v>0.75</v>
      </c>
      <c r="H49" s="66">
        <v>0.75</v>
      </c>
    </row>
    <row r="50" spans="1:8" ht="16.149999999999999" thickBot="1" x14ac:dyDescent="0.55000000000000004">
      <c r="A50" s="22" t="s">
        <v>13</v>
      </c>
      <c r="B50" s="23" t="s">
        <v>10</v>
      </c>
      <c r="C50" s="41">
        <v>32</v>
      </c>
      <c r="D50" s="73">
        <f>393/60</f>
        <v>6.55</v>
      </c>
      <c r="E50" s="68">
        <v>4.04</v>
      </c>
      <c r="F50" s="69">
        <v>0.5</v>
      </c>
      <c r="G50" s="74">
        <v>0.81</v>
      </c>
      <c r="H50" s="75">
        <v>0.82</v>
      </c>
    </row>
  </sheetData>
  <conditionalFormatting sqref="D3:D50">
    <cfRule type="cellIs" dxfId="11" priority="3" operator="greaterThan">
      <formula>82.885</formula>
    </cfRule>
  </conditionalFormatting>
  <conditionalFormatting sqref="E3:E50">
    <cfRule type="cellIs" dxfId="10" priority="2" operator="greaterThan">
      <formula>6.52</formula>
    </cfRule>
  </conditionalFormatting>
  <conditionalFormatting sqref="F3:F50">
    <cfRule type="cellIs" dxfId="9" priority="1" operator="greaterThan">
      <formula>0.3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E18B1-27C0-41F7-BB41-E10E7EA43FE8}">
  <dimension ref="A1:AX38"/>
  <sheetViews>
    <sheetView tabSelected="1" zoomScale="85" zoomScaleNormal="85" workbookViewId="0">
      <pane ySplit="2" topLeftCell="A3" activePane="bottomLeft" state="frozen"/>
      <selection pane="bottomLeft" activeCell="A3" sqref="A3:XFD3"/>
    </sheetView>
  </sheetViews>
  <sheetFormatPr defaultRowHeight="15.75" x14ac:dyDescent="0.5"/>
  <cols>
    <col min="1" max="1" width="14.125" customWidth="1"/>
    <col min="3" max="3" width="5" customWidth="1"/>
    <col min="4" max="8" width="9" style="1"/>
    <col min="9" max="9" width="5.625" customWidth="1"/>
  </cols>
  <sheetData>
    <row r="1" spans="1:50" ht="16.149999999999999" thickBot="1" x14ac:dyDescent="0.55000000000000004">
      <c r="A1" s="31" t="s">
        <v>16</v>
      </c>
      <c r="B1" s="27" t="s">
        <v>0</v>
      </c>
      <c r="C1" s="7" t="s">
        <v>2</v>
      </c>
      <c r="D1" s="34" t="s">
        <v>3</v>
      </c>
      <c r="E1" s="27" t="s">
        <v>11</v>
      </c>
      <c r="F1" s="32" t="s">
        <v>5</v>
      </c>
      <c r="G1" s="27" t="s">
        <v>7</v>
      </c>
      <c r="H1" s="33" t="s">
        <v>6</v>
      </c>
      <c r="J1" s="3"/>
      <c r="K1" s="5"/>
      <c r="L1" s="6"/>
      <c r="M1" s="1"/>
      <c r="N1" s="1"/>
      <c r="O1" s="6"/>
      <c r="P1" s="1"/>
      <c r="Q1" s="1"/>
      <c r="R1" s="1"/>
      <c r="S1" s="1"/>
      <c r="T1" s="1"/>
      <c r="U1" s="1"/>
      <c r="V1" s="1"/>
      <c r="W1" s="1"/>
    </row>
    <row r="2" spans="1:50" ht="16.149999999999999" thickBot="1" x14ac:dyDescent="0.55000000000000004">
      <c r="A2" s="26" t="s">
        <v>1</v>
      </c>
      <c r="B2" s="27"/>
      <c r="C2" s="7"/>
      <c r="D2" s="77">
        <f>787/60</f>
        <v>13.116666666666667</v>
      </c>
      <c r="E2" s="29" t="s">
        <v>19</v>
      </c>
      <c r="F2" s="28" t="s">
        <v>19</v>
      </c>
      <c r="G2" s="29">
        <v>0.53</v>
      </c>
      <c r="H2" s="30">
        <v>0.53</v>
      </c>
      <c r="J2" s="8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8"/>
    </row>
    <row r="3" spans="1:50" s="1" customFormat="1" x14ac:dyDescent="0.5">
      <c r="A3" s="17" t="s">
        <v>4</v>
      </c>
      <c r="B3" s="18" t="s">
        <v>8</v>
      </c>
      <c r="C3" s="39">
        <v>4</v>
      </c>
      <c r="D3" s="36">
        <f>1856/60</f>
        <v>30.933333333333334</v>
      </c>
      <c r="E3" s="20">
        <v>11.4</v>
      </c>
      <c r="F3" s="19">
        <v>1.89</v>
      </c>
      <c r="G3" s="20">
        <v>0.92</v>
      </c>
      <c r="H3" s="42">
        <v>0.92</v>
      </c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</row>
    <row r="4" spans="1:50" s="1" customFormat="1" x14ac:dyDescent="0.5">
      <c r="A4" s="21" t="s">
        <v>4</v>
      </c>
      <c r="B4" s="13" t="s">
        <v>8</v>
      </c>
      <c r="C4" s="40">
        <v>8</v>
      </c>
      <c r="D4" s="37">
        <f>1855/60</f>
        <v>30.916666666666668</v>
      </c>
      <c r="E4" s="12">
        <v>11.41</v>
      </c>
      <c r="F4" s="15">
        <v>1.48</v>
      </c>
      <c r="G4" s="12">
        <v>0.92</v>
      </c>
      <c r="H4" s="43">
        <v>0.92</v>
      </c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50" s="1" customFormat="1" x14ac:dyDescent="0.5">
      <c r="A5" s="21" t="s">
        <v>4</v>
      </c>
      <c r="B5" s="13" t="s">
        <v>8</v>
      </c>
      <c r="C5" s="40">
        <v>16</v>
      </c>
      <c r="D5" s="37">
        <f>1862/60</f>
        <v>31.033333333333335</v>
      </c>
      <c r="E5" s="12">
        <v>11.42</v>
      </c>
      <c r="F5" s="15">
        <v>0.33</v>
      </c>
      <c r="G5" s="12">
        <v>0.94</v>
      </c>
      <c r="H5" s="43">
        <v>0.94</v>
      </c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50" s="1" customFormat="1" x14ac:dyDescent="0.5">
      <c r="A6" s="21" t="s">
        <v>4</v>
      </c>
      <c r="B6" s="13" t="s">
        <v>8</v>
      </c>
      <c r="C6" s="40">
        <v>32</v>
      </c>
      <c r="D6" s="37">
        <f>1905/60</f>
        <v>31.75</v>
      </c>
      <c r="E6" s="12">
        <v>11.45</v>
      </c>
      <c r="F6" s="15">
        <v>0.5</v>
      </c>
      <c r="G6" s="12">
        <v>0.94</v>
      </c>
      <c r="H6" s="43">
        <v>0.94</v>
      </c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50" s="1" customFormat="1" x14ac:dyDescent="0.5">
      <c r="A7" s="21" t="s">
        <v>4</v>
      </c>
      <c r="B7" s="14" t="s">
        <v>9</v>
      </c>
      <c r="C7" s="40">
        <v>4</v>
      </c>
      <c r="D7" s="37">
        <f>1989/60</f>
        <v>33.15</v>
      </c>
      <c r="E7" s="12">
        <v>11.62</v>
      </c>
      <c r="F7" s="15">
        <v>2.92</v>
      </c>
      <c r="G7" s="12">
        <v>0.92</v>
      </c>
      <c r="H7" s="43">
        <v>0.92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50" s="1" customFormat="1" x14ac:dyDescent="0.5">
      <c r="A8" s="21" t="s">
        <v>4</v>
      </c>
      <c r="B8" s="14" t="s">
        <v>9</v>
      </c>
      <c r="C8" s="40">
        <v>8</v>
      </c>
      <c r="D8" s="37">
        <f>1987/60</f>
        <v>33.116666666666667</v>
      </c>
      <c r="E8" s="12">
        <v>11.62</v>
      </c>
      <c r="F8" s="15">
        <v>1.9</v>
      </c>
      <c r="G8" s="12">
        <v>0.93</v>
      </c>
      <c r="H8" s="43">
        <v>0.93</v>
      </c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</row>
    <row r="9" spans="1:50" s="1" customFormat="1" x14ac:dyDescent="0.5">
      <c r="A9" s="21" t="s">
        <v>4</v>
      </c>
      <c r="B9" s="14" t="s">
        <v>9</v>
      </c>
      <c r="C9" s="40">
        <v>16</v>
      </c>
      <c r="D9" s="37">
        <f>1996/60</f>
        <v>33.266666666666666</v>
      </c>
      <c r="E9" s="12">
        <v>11.64</v>
      </c>
      <c r="F9" s="15">
        <v>1.17</v>
      </c>
      <c r="G9" s="12">
        <v>0.93</v>
      </c>
      <c r="H9" s="43">
        <v>0.93</v>
      </c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</row>
    <row r="10" spans="1:50" s="1" customFormat="1" x14ac:dyDescent="0.5">
      <c r="A10" s="21" t="s">
        <v>4</v>
      </c>
      <c r="B10" s="14" t="s">
        <v>9</v>
      </c>
      <c r="C10" s="40">
        <v>32</v>
      </c>
      <c r="D10" s="37">
        <f>2049/60</f>
        <v>34.15</v>
      </c>
      <c r="E10" s="12">
        <v>11.68</v>
      </c>
      <c r="F10" s="15">
        <v>1.29</v>
      </c>
      <c r="G10" s="12">
        <v>0.93</v>
      </c>
      <c r="H10" s="43">
        <v>0.93</v>
      </c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</row>
    <row r="11" spans="1:50" s="1" customFormat="1" x14ac:dyDescent="0.5">
      <c r="A11" s="21" t="s">
        <v>4</v>
      </c>
      <c r="B11" s="14" t="s">
        <v>10</v>
      </c>
      <c r="C11" s="40">
        <v>4</v>
      </c>
      <c r="D11" s="37">
        <f>2174/60</f>
        <v>36.233333333333334</v>
      </c>
      <c r="E11" s="12">
        <v>11.83</v>
      </c>
      <c r="F11" s="15">
        <v>0.3</v>
      </c>
      <c r="G11" s="12">
        <v>0.94</v>
      </c>
      <c r="H11" s="43">
        <v>0.94</v>
      </c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</row>
    <row r="12" spans="1:50" s="1" customFormat="1" x14ac:dyDescent="0.5">
      <c r="A12" s="21" t="s">
        <v>4</v>
      </c>
      <c r="B12" s="14" t="s">
        <v>10</v>
      </c>
      <c r="C12" s="40">
        <v>8</v>
      </c>
      <c r="D12" s="37">
        <f>2173/60</f>
        <v>36.216666666666669</v>
      </c>
      <c r="E12" s="12">
        <v>11.85</v>
      </c>
      <c r="F12" s="15">
        <v>0.3</v>
      </c>
      <c r="G12" s="12">
        <v>0.94</v>
      </c>
      <c r="H12" s="43">
        <v>0.94</v>
      </c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</row>
    <row r="13" spans="1:50" s="1" customFormat="1" x14ac:dyDescent="0.5">
      <c r="A13" s="21" t="s">
        <v>4</v>
      </c>
      <c r="B13" s="14" t="s">
        <v>10</v>
      </c>
      <c r="C13" s="40">
        <v>16</v>
      </c>
      <c r="D13" s="37">
        <f>2156/60</f>
        <v>35.93333333333333</v>
      </c>
      <c r="E13" s="12">
        <v>11.68</v>
      </c>
      <c r="F13" s="15">
        <v>0.28999999999999998</v>
      </c>
      <c r="G13" s="12">
        <v>0.94</v>
      </c>
      <c r="H13" s="43">
        <v>0.94</v>
      </c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</row>
    <row r="14" spans="1:50" s="1" customFormat="1" ht="16.149999999999999" thickBot="1" x14ac:dyDescent="0.55000000000000004">
      <c r="A14" s="22" t="s">
        <v>4</v>
      </c>
      <c r="B14" s="23" t="s">
        <v>10</v>
      </c>
      <c r="C14" s="41">
        <v>32</v>
      </c>
      <c r="D14" s="38">
        <f>2275/60</f>
        <v>37.916666666666664</v>
      </c>
      <c r="E14" s="25">
        <v>11.93</v>
      </c>
      <c r="F14" s="24">
        <v>0.3</v>
      </c>
      <c r="G14" s="25">
        <v>0.94</v>
      </c>
      <c r="H14" s="44">
        <v>0.94</v>
      </c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</row>
    <row r="15" spans="1:50" x14ac:dyDescent="0.5">
      <c r="A15" s="17" t="s">
        <v>12</v>
      </c>
      <c r="B15" s="18" t="s">
        <v>8</v>
      </c>
      <c r="C15" s="39">
        <v>4</v>
      </c>
      <c r="D15" s="36"/>
      <c r="E15" s="20"/>
      <c r="F15" s="19"/>
      <c r="G15" s="20"/>
      <c r="H15" s="4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Y15" s="8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</row>
    <row r="16" spans="1:50" x14ac:dyDescent="0.5">
      <c r="A16" s="21" t="s">
        <v>12</v>
      </c>
      <c r="B16" s="13" t="s">
        <v>8</v>
      </c>
      <c r="C16" s="40">
        <v>8</v>
      </c>
      <c r="D16" s="37"/>
      <c r="E16" s="12"/>
      <c r="F16" s="15"/>
      <c r="G16" s="12"/>
      <c r="H16" s="43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Y16" s="8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"/>
      <c r="AU16" s="1"/>
      <c r="AV16" s="1"/>
      <c r="AW16" s="1"/>
      <c r="AX16" s="1"/>
    </row>
    <row r="17" spans="1:50" x14ac:dyDescent="0.5">
      <c r="A17" s="21" t="s">
        <v>12</v>
      </c>
      <c r="B17" s="13" t="s">
        <v>8</v>
      </c>
      <c r="C17" s="40">
        <v>16</v>
      </c>
      <c r="D17" s="37"/>
      <c r="E17" s="12"/>
      <c r="F17" s="15"/>
      <c r="G17" s="12"/>
      <c r="H17" s="43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Y17" s="8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  <c r="AQ17" s="10"/>
      <c r="AR17" s="10"/>
      <c r="AS17" s="10"/>
      <c r="AT17" s="1"/>
      <c r="AU17" s="1"/>
      <c r="AV17" s="1"/>
      <c r="AW17" s="1"/>
      <c r="AX17" s="1"/>
    </row>
    <row r="18" spans="1:50" x14ac:dyDescent="0.5">
      <c r="A18" s="21" t="s">
        <v>12</v>
      </c>
      <c r="B18" s="13" t="s">
        <v>8</v>
      </c>
      <c r="C18" s="40">
        <v>32</v>
      </c>
      <c r="D18" s="37"/>
      <c r="E18" s="12"/>
      <c r="F18" s="15"/>
      <c r="G18" s="12"/>
      <c r="H18" s="43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Y18" s="8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"/>
      <c r="AU18" s="1"/>
      <c r="AV18" s="1"/>
      <c r="AW18" s="1"/>
      <c r="AX18" s="1"/>
    </row>
    <row r="19" spans="1:50" x14ac:dyDescent="0.5">
      <c r="A19" s="21" t="s">
        <v>12</v>
      </c>
      <c r="B19" s="14" t="s">
        <v>9</v>
      </c>
      <c r="C19" s="40">
        <v>4</v>
      </c>
      <c r="D19" s="37"/>
      <c r="E19" s="12"/>
      <c r="F19" s="15"/>
      <c r="G19" s="12"/>
      <c r="H19" s="43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Y19" s="2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</row>
    <row r="20" spans="1:50" x14ac:dyDescent="0.5">
      <c r="A20" s="21" t="s">
        <v>12</v>
      </c>
      <c r="B20" s="14" t="s">
        <v>9</v>
      </c>
      <c r="C20" s="40">
        <v>8</v>
      </c>
      <c r="D20" s="37"/>
      <c r="E20" s="12"/>
      <c r="F20" s="15"/>
      <c r="G20" s="12"/>
      <c r="H20" s="43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Y20" s="3"/>
      <c r="Z20" s="5"/>
      <c r="AA20" s="6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</row>
    <row r="21" spans="1:50" x14ac:dyDescent="0.5">
      <c r="A21" s="21" t="s">
        <v>12</v>
      </c>
      <c r="B21" s="14" t="s">
        <v>9</v>
      </c>
      <c r="C21" s="40">
        <v>16</v>
      </c>
      <c r="D21" s="37"/>
      <c r="E21" s="12"/>
      <c r="F21" s="15"/>
      <c r="G21" s="12"/>
      <c r="H21" s="43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Y21" s="4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</row>
    <row r="22" spans="1:50" x14ac:dyDescent="0.5">
      <c r="A22" s="21" t="s">
        <v>12</v>
      </c>
      <c r="B22" s="14" t="s">
        <v>9</v>
      </c>
      <c r="C22" s="40">
        <v>32</v>
      </c>
      <c r="D22" s="37"/>
      <c r="E22" s="12"/>
      <c r="F22" s="15"/>
      <c r="G22" s="12"/>
      <c r="H22" s="43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Y22" s="2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</row>
    <row r="23" spans="1:50" x14ac:dyDescent="0.5">
      <c r="A23" s="21" t="s">
        <v>12</v>
      </c>
      <c r="B23" s="14" t="s">
        <v>10</v>
      </c>
      <c r="C23" s="40">
        <v>4</v>
      </c>
      <c r="D23" s="37"/>
      <c r="E23" s="12"/>
      <c r="F23" s="15"/>
      <c r="G23" s="12"/>
      <c r="H23" s="43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Y23" s="8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9"/>
      <c r="AW23" s="9"/>
      <c r="AX23" s="9"/>
    </row>
    <row r="24" spans="1:50" x14ac:dyDescent="0.5">
      <c r="A24" s="21" t="s">
        <v>12</v>
      </c>
      <c r="B24" s="14" t="s">
        <v>10</v>
      </c>
      <c r="C24" s="40">
        <v>8</v>
      </c>
      <c r="D24" s="37"/>
      <c r="E24" s="12"/>
      <c r="F24" s="15"/>
      <c r="G24" s="12"/>
      <c r="H24" s="43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Y24" s="8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"/>
      <c r="AU24" s="1"/>
      <c r="AV24" s="1"/>
      <c r="AW24" s="1"/>
      <c r="AX24" s="1"/>
    </row>
    <row r="25" spans="1:50" x14ac:dyDescent="0.5">
      <c r="A25" s="21" t="s">
        <v>12</v>
      </c>
      <c r="B25" s="14" t="s">
        <v>10</v>
      </c>
      <c r="C25" s="40">
        <v>16</v>
      </c>
      <c r="D25" s="37"/>
      <c r="E25" s="12"/>
      <c r="F25" s="15"/>
      <c r="G25" s="12"/>
      <c r="H25" s="43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Y25" s="8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"/>
      <c r="AU25" s="1"/>
      <c r="AV25" s="1"/>
      <c r="AW25" s="1"/>
      <c r="AX25" s="1"/>
    </row>
    <row r="26" spans="1:50" ht="16.149999999999999" thickBot="1" x14ac:dyDescent="0.55000000000000004">
      <c r="A26" s="22" t="s">
        <v>12</v>
      </c>
      <c r="B26" s="23" t="s">
        <v>10</v>
      </c>
      <c r="C26" s="41">
        <v>32</v>
      </c>
      <c r="D26" s="38"/>
      <c r="E26" s="25"/>
      <c r="F26" s="24"/>
      <c r="G26" s="25"/>
      <c r="H26" s="44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Y26" s="8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  <c r="AR26" s="10"/>
      <c r="AS26" s="10"/>
      <c r="AT26" s="1"/>
      <c r="AU26" s="1"/>
      <c r="AV26" s="1"/>
      <c r="AW26" s="1"/>
      <c r="AX26" s="1"/>
    </row>
    <row r="27" spans="1:50" x14ac:dyDescent="0.5">
      <c r="A27" s="17" t="s">
        <v>13</v>
      </c>
      <c r="B27" s="18" t="s">
        <v>8</v>
      </c>
      <c r="C27" s="39">
        <v>4</v>
      </c>
      <c r="D27" s="48"/>
      <c r="E27" s="20"/>
      <c r="F27" s="19"/>
      <c r="G27" s="20"/>
      <c r="H27" s="4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</row>
    <row r="28" spans="1:50" x14ac:dyDescent="0.5">
      <c r="A28" s="21" t="s">
        <v>13</v>
      </c>
      <c r="B28" s="13" t="s">
        <v>8</v>
      </c>
      <c r="C28" s="40">
        <v>8</v>
      </c>
      <c r="D28" s="49"/>
      <c r="E28" s="12"/>
      <c r="F28" s="15"/>
      <c r="G28" s="12"/>
      <c r="H28" s="43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</row>
    <row r="29" spans="1:50" x14ac:dyDescent="0.5">
      <c r="A29" s="21" t="s">
        <v>13</v>
      </c>
      <c r="B29" s="13" t="s">
        <v>8</v>
      </c>
      <c r="C29" s="40">
        <v>16</v>
      </c>
      <c r="D29" s="49"/>
      <c r="E29" s="12"/>
      <c r="F29" s="15"/>
      <c r="G29" s="12"/>
      <c r="H29" s="43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</row>
    <row r="30" spans="1:50" x14ac:dyDescent="0.5">
      <c r="A30" s="21" t="s">
        <v>13</v>
      </c>
      <c r="B30" s="13" t="s">
        <v>8</v>
      </c>
      <c r="C30" s="40">
        <v>32</v>
      </c>
      <c r="D30" s="49"/>
      <c r="E30" s="12"/>
      <c r="F30" s="15"/>
      <c r="G30" s="12"/>
      <c r="H30" s="43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</row>
    <row r="31" spans="1:50" x14ac:dyDescent="0.5">
      <c r="A31" s="21" t="s">
        <v>13</v>
      </c>
      <c r="B31" s="14" t="s">
        <v>9</v>
      </c>
      <c r="C31" s="40">
        <v>4</v>
      </c>
      <c r="D31" s="49"/>
      <c r="E31" s="12"/>
      <c r="F31" s="15"/>
      <c r="G31" s="12"/>
      <c r="H31" s="43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</row>
    <row r="32" spans="1:50" x14ac:dyDescent="0.5">
      <c r="A32" s="21" t="s">
        <v>13</v>
      </c>
      <c r="B32" s="14" t="s">
        <v>9</v>
      </c>
      <c r="C32" s="40">
        <v>8</v>
      </c>
      <c r="D32" s="49"/>
      <c r="E32" s="12"/>
      <c r="F32" s="15"/>
      <c r="G32" s="12"/>
      <c r="H32" s="43"/>
    </row>
    <row r="33" spans="1:8" x14ac:dyDescent="0.5">
      <c r="A33" s="21" t="s">
        <v>13</v>
      </c>
      <c r="B33" s="14" t="s">
        <v>9</v>
      </c>
      <c r="C33" s="40">
        <v>16</v>
      </c>
      <c r="D33" s="49"/>
      <c r="E33" s="12"/>
      <c r="F33" s="15"/>
      <c r="G33" s="12"/>
      <c r="H33" s="43"/>
    </row>
    <row r="34" spans="1:8" x14ac:dyDescent="0.5">
      <c r="A34" s="21" t="s">
        <v>13</v>
      </c>
      <c r="B34" s="14" t="s">
        <v>9</v>
      </c>
      <c r="C34" s="40">
        <v>32</v>
      </c>
      <c r="D34" s="49"/>
      <c r="E34" s="12"/>
      <c r="F34" s="15"/>
      <c r="G34" s="12"/>
      <c r="H34" s="43"/>
    </row>
    <row r="35" spans="1:8" x14ac:dyDescent="0.5">
      <c r="A35" s="21" t="s">
        <v>13</v>
      </c>
      <c r="B35" s="14" t="s">
        <v>10</v>
      </c>
      <c r="C35" s="40">
        <v>4</v>
      </c>
      <c r="D35" s="49"/>
      <c r="E35" s="12"/>
      <c r="F35" s="15"/>
      <c r="G35" s="12"/>
      <c r="H35" s="43"/>
    </row>
    <row r="36" spans="1:8" x14ac:dyDescent="0.5">
      <c r="A36" s="21" t="s">
        <v>13</v>
      </c>
      <c r="B36" s="14" t="s">
        <v>10</v>
      </c>
      <c r="C36" s="40">
        <v>8</v>
      </c>
      <c r="D36" s="49"/>
      <c r="E36" s="12"/>
      <c r="F36" s="15"/>
      <c r="G36" s="12"/>
      <c r="H36" s="43"/>
    </row>
    <row r="37" spans="1:8" x14ac:dyDescent="0.5">
      <c r="A37" s="21" t="s">
        <v>13</v>
      </c>
      <c r="B37" s="14" t="s">
        <v>10</v>
      </c>
      <c r="C37" s="40">
        <v>16</v>
      </c>
      <c r="D37" s="49"/>
      <c r="E37" s="12"/>
      <c r="F37" s="15"/>
      <c r="G37" s="12"/>
      <c r="H37" s="43"/>
    </row>
    <row r="38" spans="1:8" ht="16.149999999999999" thickBot="1" x14ac:dyDescent="0.55000000000000004">
      <c r="A38" s="22" t="s">
        <v>13</v>
      </c>
      <c r="B38" s="23" t="s">
        <v>10</v>
      </c>
      <c r="C38" s="41">
        <v>32</v>
      </c>
      <c r="D38" s="50"/>
      <c r="E38" s="25"/>
      <c r="F38" s="45"/>
      <c r="G38" s="46"/>
      <c r="H38" s="47"/>
    </row>
  </sheetData>
  <conditionalFormatting sqref="D3:D38">
    <cfRule type="cellIs" dxfId="8" priority="3" operator="greaterThan">
      <formula>82.885</formula>
    </cfRule>
  </conditionalFormatting>
  <conditionalFormatting sqref="E3:E38">
    <cfRule type="cellIs" dxfId="7" priority="2" operator="greaterThan">
      <formula>6.52</formula>
    </cfRule>
  </conditionalFormatting>
  <conditionalFormatting sqref="F3:F38">
    <cfRule type="cellIs" dxfId="6" priority="1" operator="greaterThan">
      <formula>0.3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5442F-DDC5-4B16-9503-F5A00B3AC9DA}">
  <dimension ref="A1:AX38"/>
  <sheetViews>
    <sheetView zoomScale="85" zoomScaleNormal="85" workbookViewId="0">
      <pane ySplit="2" topLeftCell="A3" activePane="bottomLeft" state="frozen"/>
      <selection pane="bottomLeft" activeCell="A3" sqref="A3:XFD3"/>
    </sheetView>
  </sheetViews>
  <sheetFormatPr defaultRowHeight="15.75" x14ac:dyDescent="0.5"/>
  <cols>
    <col min="1" max="1" width="14.125" customWidth="1"/>
    <col min="3" max="3" width="5" customWidth="1"/>
    <col min="4" max="8" width="9" style="1"/>
    <col min="9" max="9" width="5.625" customWidth="1"/>
  </cols>
  <sheetData>
    <row r="1" spans="1:50" ht="16.149999999999999" thickBot="1" x14ac:dyDescent="0.55000000000000004">
      <c r="A1" s="31" t="s">
        <v>17</v>
      </c>
      <c r="B1" s="27" t="s">
        <v>0</v>
      </c>
      <c r="C1" s="7" t="s">
        <v>2</v>
      </c>
      <c r="D1" s="34" t="s">
        <v>3</v>
      </c>
      <c r="E1" s="27" t="s">
        <v>11</v>
      </c>
      <c r="F1" s="32" t="s">
        <v>5</v>
      </c>
      <c r="G1" s="27" t="s">
        <v>7</v>
      </c>
      <c r="H1" s="33" t="s">
        <v>6</v>
      </c>
      <c r="J1" s="3"/>
      <c r="K1" s="5"/>
      <c r="L1" s="6"/>
      <c r="M1" s="1"/>
      <c r="N1" s="1"/>
      <c r="O1" s="6"/>
      <c r="P1" s="1"/>
      <c r="Q1" s="1"/>
      <c r="R1" s="1"/>
      <c r="S1" s="1"/>
      <c r="T1" s="1"/>
      <c r="U1" s="1"/>
      <c r="V1" s="1"/>
      <c r="W1" s="1"/>
    </row>
    <row r="2" spans="1:50" ht="16.149999999999999" thickBot="1" x14ac:dyDescent="0.55000000000000004">
      <c r="A2" s="26" t="s">
        <v>1</v>
      </c>
      <c r="B2" s="27"/>
      <c r="C2" s="7"/>
      <c r="D2" s="77"/>
      <c r="E2" s="29"/>
      <c r="F2" s="28"/>
      <c r="G2" s="29"/>
      <c r="H2" s="30"/>
      <c r="J2" s="8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8"/>
    </row>
    <row r="3" spans="1:50" s="1" customFormat="1" x14ac:dyDescent="0.5">
      <c r="A3" s="17" t="s">
        <v>4</v>
      </c>
      <c r="B3" s="18" t="s">
        <v>8</v>
      </c>
      <c r="C3" s="39">
        <v>4</v>
      </c>
      <c r="D3" s="36"/>
      <c r="E3" s="20"/>
      <c r="F3" s="19"/>
      <c r="G3" s="20"/>
      <c r="H3" s="4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</row>
    <row r="4" spans="1:50" s="1" customFormat="1" x14ac:dyDescent="0.5">
      <c r="A4" s="21" t="s">
        <v>4</v>
      </c>
      <c r="B4" s="13" t="s">
        <v>8</v>
      </c>
      <c r="C4" s="40">
        <v>8</v>
      </c>
      <c r="D4" s="37"/>
      <c r="E4" s="12"/>
      <c r="F4" s="15"/>
      <c r="G4" s="12"/>
      <c r="H4" s="43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50" s="1" customFormat="1" x14ac:dyDescent="0.5">
      <c r="A5" s="21" t="s">
        <v>4</v>
      </c>
      <c r="B5" s="13" t="s">
        <v>8</v>
      </c>
      <c r="C5" s="40">
        <v>16</v>
      </c>
      <c r="D5" s="37"/>
      <c r="E5" s="12"/>
      <c r="F5" s="15"/>
      <c r="G5" s="12"/>
      <c r="H5" s="43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50" s="1" customFormat="1" x14ac:dyDescent="0.5">
      <c r="A6" s="21" t="s">
        <v>4</v>
      </c>
      <c r="B6" s="13" t="s">
        <v>8</v>
      </c>
      <c r="C6" s="40">
        <v>32</v>
      </c>
      <c r="D6" s="37"/>
      <c r="E6" s="12"/>
      <c r="F6" s="15"/>
      <c r="G6" s="12"/>
      <c r="H6" s="43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50" s="1" customFormat="1" x14ac:dyDescent="0.5">
      <c r="A7" s="21" t="s">
        <v>4</v>
      </c>
      <c r="B7" s="14" t="s">
        <v>9</v>
      </c>
      <c r="C7" s="40">
        <v>4</v>
      </c>
      <c r="D7" s="37"/>
      <c r="E7" s="12"/>
      <c r="F7" s="15"/>
      <c r="G7" s="12"/>
      <c r="H7" s="43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50" s="1" customFormat="1" x14ac:dyDescent="0.5">
      <c r="A8" s="21" t="s">
        <v>4</v>
      </c>
      <c r="B8" s="14" t="s">
        <v>9</v>
      </c>
      <c r="C8" s="40">
        <v>8</v>
      </c>
      <c r="D8" s="37"/>
      <c r="E8" s="12"/>
      <c r="F8" s="15"/>
      <c r="G8" s="12"/>
      <c r="H8" s="43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</row>
    <row r="9" spans="1:50" s="1" customFormat="1" x14ac:dyDescent="0.5">
      <c r="A9" s="21" t="s">
        <v>4</v>
      </c>
      <c r="B9" s="14" t="s">
        <v>9</v>
      </c>
      <c r="C9" s="40">
        <v>16</v>
      </c>
      <c r="D9" s="37"/>
      <c r="E9" s="12"/>
      <c r="F9" s="15"/>
      <c r="G9" s="12"/>
      <c r="H9" s="43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</row>
    <row r="10" spans="1:50" s="1" customFormat="1" x14ac:dyDescent="0.5">
      <c r="A10" s="21" t="s">
        <v>4</v>
      </c>
      <c r="B10" s="14" t="s">
        <v>9</v>
      </c>
      <c r="C10" s="40">
        <v>32</v>
      </c>
      <c r="D10" s="37"/>
      <c r="E10" s="12"/>
      <c r="F10" s="15"/>
      <c r="G10" s="12"/>
      <c r="H10" s="43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</row>
    <row r="11" spans="1:50" s="1" customFormat="1" x14ac:dyDescent="0.5">
      <c r="A11" s="21" t="s">
        <v>4</v>
      </c>
      <c r="B11" s="14" t="s">
        <v>10</v>
      </c>
      <c r="C11" s="40">
        <v>4</v>
      </c>
      <c r="D11" s="37"/>
      <c r="E11" s="12"/>
      <c r="F11" s="15"/>
      <c r="G11" s="12"/>
      <c r="H11" s="43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</row>
    <row r="12" spans="1:50" s="1" customFormat="1" x14ac:dyDescent="0.5">
      <c r="A12" s="21" t="s">
        <v>4</v>
      </c>
      <c r="B12" s="14" t="s">
        <v>10</v>
      </c>
      <c r="C12" s="40">
        <v>8</v>
      </c>
      <c r="D12" s="37"/>
      <c r="E12" s="12"/>
      <c r="F12" s="15"/>
      <c r="G12" s="12"/>
      <c r="H12" s="43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</row>
    <row r="13" spans="1:50" s="1" customFormat="1" x14ac:dyDescent="0.5">
      <c r="A13" s="21" t="s">
        <v>4</v>
      </c>
      <c r="B13" s="14" t="s">
        <v>10</v>
      </c>
      <c r="C13" s="40">
        <v>16</v>
      </c>
      <c r="D13" s="37"/>
      <c r="E13" s="12"/>
      <c r="F13" s="15"/>
      <c r="G13" s="12"/>
      <c r="H13" s="43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</row>
    <row r="14" spans="1:50" s="1" customFormat="1" ht="16.149999999999999" thickBot="1" x14ac:dyDescent="0.55000000000000004">
      <c r="A14" s="22" t="s">
        <v>4</v>
      </c>
      <c r="B14" s="23" t="s">
        <v>10</v>
      </c>
      <c r="C14" s="41">
        <v>32</v>
      </c>
      <c r="D14" s="38"/>
      <c r="E14" s="25"/>
      <c r="F14" s="24"/>
      <c r="G14" s="25"/>
      <c r="H14" s="44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</row>
    <row r="15" spans="1:50" x14ac:dyDescent="0.5">
      <c r="A15" s="17" t="s">
        <v>12</v>
      </c>
      <c r="B15" s="18" t="s">
        <v>8</v>
      </c>
      <c r="C15" s="39">
        <v>4</v>
      </c>
      <c r="D15" s="36"/>
      <c r="E15" s="20"/>
      <c r="F15" s="19"/>
      <c r="G15" s="20"/>
      <c r="H15" s="4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Y15" s="8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</row>
    <row r="16" spans="1:50" x14ac:dyDescent="0.5">
      <c r="A16" s="21" t="s">
        <v>12</v>
      </c>
      <c r="B16" s="13" t="s">
        <v>8</v>
      </c>
      <c r="C16" s="40">
        <v>8</v>
      </c>
      <c r="D16" s="37"/>
      <c r="E16" s="12"/>
      <c r="F16" s="15"/>
      <c r="G16" s="12"/>
      <c r="H16" s="43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Y16" s="8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"/>
      <c r="AU16" s="1"/>
      <c r="AV16" s="1"/>
      <c r="AW16" s="1"/>
      <c r="AX16" s="1"/>
    </row>
    <row r="17" spans="1:50" x14ac:dyDescent="0.5">
      <c r="A17" s="21" t="s">
        <v>12</v>
      </c>
      <c r="B17" s="13" t="s">
        <v>8</v>
      </c>
      <c r="C17" s="40">
        <v>16</v>
      </c>
      <c r="D17" s="37"/>
      <c r="E17" s="12"/>
      <c r="F17" s="15"/>
      <c r="G17" s="12"/>
      <c r="H17" s="43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Y17" s="8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  <c r="AQ17" s="10"/>
      <c r="AR17" s="10"/>
      <c r="AS17" s="10"/>
      <c r="AT17" s="1"/>
      <c r="AU17" s="1"/>
      <c r="AV17" s="1"/>
      <c r="AW17" s="1"/>
      <c r="AX17" s="1"/>
    </row>
    <row r="18" spans="1:50" x14ac:dyDescent="0.5">
      <c r="A18" s="21" t="s">
        <v>12</v>
      </c>
      <c r="B18" s="13" t="s">
        <v>8</v>
      </c>
      <c r="C18" s="40">
        <v>32</v>
      </c>
      <c r="D18" s="37"/>
      <c r="E18" s="12"/>
      <c r="F18" s="15"/>
      <c r="G18" s="12"/>
      <c r="H18" s="43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Y18" s="8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"/>
      <c r="AU18" s="1"/>
      <c r="AV18" s="1"/>
      <c r="AW18" s="1"/>
      <c r="AX18" s="1"/>
    </row>
    <row r="19" spans="1:50" x14ac:dyDescent="0.5">
      <c r="A19" s="21" t="s">
        <v>12</v>
      </c>
      <c r="B19" s="14" t="s">
        <v>9</v>
      </c>
      <c r="C19" s="40">
        <v>4</v>
      </c>
      <c r="D19" s="37"/>
      <c r="E19" s="12"/>
      <c r="F19" s="15"/>
      <c r="G19" s="12"/>
      <c r="H19" s="43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Y19" s="2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</row>
    <row r="20" spans="1:50" x14ac:dyDescent="0.5">
      <c r="A20" s="21" t="s">
        <v>12</v>
      </c>
      <c r="B20" s="14" t="s">
        <v>9</v>
      </c>
      <c r="C20" s="40">
        <v>8</v>
      </c>
      <c r="D20" s="37"/>
      <c r="E20" s="12"/>
      <c r="F20" s="15"/>
      <c r="G20" s="12"/>
      <c r="H20" s="43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Y20" s="3"/>
      <c r="Z20" s="5"/>
      <c r="AA20" s="6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</row>
    <row r="21" spans="1:50" x14ac:dyDescent="0.5">
      <c r="A21" s="21" t="s">
        <v>12</v>
      </c>
      <c r="B21" s="14" t="s">
        <v>9</v>
      </c>
      <c r="C21" s="40">
        <v>16</v>
      </c>
      <c r="D21" s="37"/>
      <c r="E21" s="12"/>
      <c r="F21" s="15"/>
      <c r="G21" s="12"/>
      <c r="H21" s="43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Y21" s="4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</row>
    <row r="22" spans="1:50" x14ac:dyDescent="0.5">
      <c r="A22" s="21" t="s">
        <v>12</v>
      </c>
      <c r="B22" s="14" t="s">
        <v>9</v>
      </c>
      <c r="C22" s="40">
        <v>32</v>
      </c>
      <c r="D22" s="37"/>
      <c r="E22" s="12"/>
      <c r="F22" s="15"/>
      <c r="G22" s="12"/>
      <c r="H22" s="43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Y22" s="2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</row>
    <row r="23" spans="1:50" x14ac:dyDescent="0.5">
      <c r="A23" s="21" t="s">
        <v>12</v>
      </c>
      <c r="B23" s="14" t="s">
        <v>10</v>
      </c>
      <c r="C23" s="40">
        <v>4</v>
      </c>
      <c r="D23" s="37"/>
      <c r="E23" s="12"/>
      <c r="F23" s="15"/>
      <c r="G23" s="12"/>
      <c r="H23" s="43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Y23" s="8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9"/>
      <c r="AW23" s="9"/>
      <c r="AX23" s="9"/>
    </row>
    <row r="24" spans="1:50" x14ac:dyDescent="0.5">
      <c r="A24" s="21" t="s">
        <v>12</v>
      </c>
      <c r="B24" s="14" t="s">
        <v>10</v>
      </c>
      <c r="C24" s="40">
        <v>8</v>
      </c>
      <c r="D24" s="37"/>
      <c r="E24" s="12"/>
      <c r="F24" s="15"/>
      <c r="G24" s="12"/>
      <c r="H24" s="43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Y24" s="8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"/>
      <c r="AU24" s="1"/>
      <c r="AV24" s="1"/>
      <c r="AW24" s="1"/>
      <c r="AX24" s="1"/>
    </row>
    <row r="25" spans="1:50" x14ac:dyDescent="0.5">
      <c r="A25" s="21" t="s">
        <v>12</v>
      </c>
      <c r="B25" s="14" t="s">
        <v>10</v>
      </c>
      <c r="C25" s="40">
        <v>16</v>
      </c>
      <c r="D25" s="37"/>
      <c r="E25" s="12"/>
      <c r="F25" s="15"/>
      <c r="G25" s="12"/>
      <c r="H25" s="43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Y25" s="8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"/>
      <c r="AU25" s="1"/>
      <c r="AV25" s="1"/>
      <c r="AW25" s="1"/>
      <c r="AX25" s="1"/>
    </row>
    <row r="26" spans="1:50" ht="16.149999999999999" thickBot="1" x14ac:dyDescent="0.55000000000000004">
      <c r="A26" s="22" t="s">
        <v>12</v>
      </c>
      <c r="B26" s="23" t="s">
        <v>10</v>
      </c>
      <c r="C26" s="41">
        <v>32</v>
      </c>
      <c r="D26" s="38"/>
      <c r="E26" s="25"/>
      <c r="F26" s="24"/>
      <c r="G26" s="25"/>
      <c r="H26" s="44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Y26" s="8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  <c r="AR26" s="10"/>
      <c r="AS26" s="10"/>
      <c r="AT26" s="1"/>
      <c r="AU26" s="1"/>
      <c r="AV26" s="1"/>
      <c r="AW26" s="1"/>
      <c r="AX26" s="1"/>
    </row>
    <row r="27" spans="1:50" x14ac:dyDescent="0.5">
      <c r="A27" s="17" t="s">
        <v>13</v>
      </c>
      <c r="B27" s="18" t="s">
        <v>8</v>
      </c>
      <c r="C27" s="39">
        <v>4</v>
      </c>
      <c r="D27" s="48"/>
      <c r="E27" s="20"/>
      <c r="F27" s="19"/>
      <c r="G27" s="20"/>
      <c r="H27" s="4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</row>
    <row r="28" spans="1:50" x14ac:dyDescent="0.5">
      <c r="A28" s="21" t="s">
        <v>13</v>
      </c>
      <c r="B28" s="13" t="s">
        <v>8</v>
      </c>
      <c r="C28" s="40">
        <v>8</v>
      </c>
      <c r="D28" s="49"/>
      <c r="E28" s="12"/>
      <c r="F28" s="15"/>
      <c r="G28" s="12"/>
      <c r="H28" s="43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</row>
    <row r="29" spans="1:50" x14ac:dyDescent="0.5">
      <c r="A29" s="21" t="s">
        <v>13</v>
      </c>
      <c r="B29" s="13" t="s">
        <v>8</v>
      </c>
      <c r="C29" s="40">
        <v>16</v>
      </c>
      <c r="D29" s="49"/>
      <c r="E29" s="12"/>
      <c r="F29" s="15"/>
      <c r="G29" s="12"/>
      <c r="H29" s="43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</row>
    <row r="30" spans="1:50" x14ac:dyDescent="0.5">
      <c r="A30" s="21" t="s">
        <v>13</v>
      </c>
      <c r="B30" s="13" t="s">
        <v>8</v>
      </c>
      <c r="C30" s="40">
        <v>32</v>
      </c>
      <c r="D30" s="49"/>
      <c r="E30" s="12"/>
      <c r="F30" s="15"/>
      <c r="G30" s="12"/>
      <c r="H30" s="43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</row>
    <row r="31" spans="1:50" x14ac:dyDescent="0.5">
      <c r="A31" s="21" t="s">
        <v>13</v>
      </c>
      <c r="B31" s="14" t="s">
        <v>9</v>
      </c>
      <c r="C31" s="40">
        <v>4</v>
      </c>
      <c r="D31" s="49"/>
      <c r="E31" s="12"/>
      <c r="F31" s="15"/>
      <c r="G31" s="12"/>
      <c r="H31" s="43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</row>
    <row r="32" spans="1:50" x14ac:dyDescent="0.5">
      <c r="A32" s="21" t="s">
        <v>13</v>
      </c>
      <c r="B32" s="14" t="s">
        <v>9</v>
      </c>
      <c r="C32" s="40">
        <v>8</v>
      </c>
      <c r="D32" s="49"/>
      <c r="E32" s="12"/>
      <c r="F32" s="15"/>
      <c r="G32" s="12"/>
      <c r="H32" s="43"/>
    </row>
    <row r="33" spans="1:8" x14ac:dyDescent="0.5">
      <c r="A33" s="21" t="s">
        <v>13</v>
      </c>
      <c r="B33" s="14" t="s">
        <v>9</v>
      </c>
      <c r="C33" s="40">
        <v>16</v>
      </c>
      <c r="D33" s="49"/>
      <c r="E33" s="12"/>
      <c r="F33" s="15"/>
      <c r="G33" s="12"/>
      <c r="H33" s="43"/>
    </row>
    <row r="34" spans="1:8" x14ac:dyDescent="0.5">
      <c r="A34" s="21" t="s">
        <v>13</v>
      </c>
      <c r="B34" s="14" t="s">
        <v>9</v>
      </c>
      <c r="C34" s="40">
        <v>32</v>
      </c>
      <c r="D34" s="49"/>
      <c r="E34" s="12"/>
      <c r="F34" s="15"/>
      <c r="G34" s="12"/>
      <c r="H34" s="43"/>
    </row>
    <row r="35" spans="1:8" x14ac:dyDescent="0.5">
      <c r="A35" s="21" t="s">
        <v>13</v>
      </c>
      <c r="B35" s="14" t="s">
        <v>10</v>
      </c>
      <c r="C35" s="40">
        <v>4</v>
      </c>
      <c r="D35" s="49"/>
      <c r="E35" s="12"/>
      <c r="F35" s="15"/>
      <c r="G35" s="12"/>
      <c r="H35" s="43"/>
    </row>
    <row r="36" spans="1:8" x14ac:dyDescent="0.5">
      <c r="A36" s="21" t="s">
        <v>13</v>
      </c>
      <c r="B36" s="14" t="s">
        <v>10</v>
      </c>
      <c r="C36" s="40">
        <v>8</v>
      </c>
      <c r="D36" s="49"/>
      <c r="E36" s="12"/>
      <c r="F36" s="15"/>
      <c r="G36" s="12"/>
      <c r="H36" s="43"/>
    </row>
    <row r="37" spans="1:8" x14ac:dyDescent="0.5">
      <c r="A37" s="21" t="s">
        <v>13</v>
      </c>
      <c r="B37" s="14" t="s">
        <v>10</v>
      </c>
      <c r="C37" s="40">
        <v>16</v>
      </c>
      <c r="D37" s="49"/>
      <c r="E37" s="12"/>
      <c r="F37" s="15"/>
      <c r="G37" s="12"/>
      <c r="H37" s="43"/>
    </row>
    <row r="38" spans="1:8" ht="16.149999999999999" thickBot="1" x14ac:dyDescent="0.55000000000000004">
      <c r="A38" s="22" t="s">
        <v>13</v>
      </c>
      <c r="B38" s="23" t="s">
        <v>10</v>
      </c>
      <c r="C38" s="41">
        <v>32</v>
      </c>
      <c r="D38" s="50"/>
      <c r="E38" s="25"/>
      <c r="F38" s="45"/>
      <c r="G38" s="46"/>
      <c r="H38" s="47"/>
    </row>
  </sheetData>
  <conditionalFormatting sqref="D3:D38">
    <cfRule type="cellIs" dxfId="5" priority="3" operator="greaterThan">
      <formula>82.885</formula>
    </cfRule>
  </conditionalFormatting>
  <conditionalFormatting sqref="E3:E38">
    <cfRule type="cellIs" dxfId="4" priority="2" operator="greaterThan">
      <formula>6.52</formula>
    </cfRule>
  </conditionalFormatting>
  <conditionalFormatting sqref="F3:F38">
    <cfRule type="cellIs" dxfId="3" priority="1" operator="greaterThan">
      <formula>0.3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697D7-2EC0-419B-A481-EE7B03F59CED}">
  <dimension ref="A1:AX38"/>
  <sheetViews>
    <sheetView zoomScale="85" zoomScaleNormal="85" workbookViewId="0">
      <pane ySplit="2" topLeftCell="A3" activePane="bottomLeft" state="frozen"/>
      <selection pane="bottomLeft" activeCell="A3" sqref="A3:XFD3"/>
    </sheetView>
  </sheetViews>
  <sheetFormatPr defaultRowHeight="15.75" x14ac:dyDescent="0.5"/>
  <cols>
    <col min="1" max="1" width="14.125" customWidth="1"/>
    <col min="3" max="3" width="5" customWidth="1"/>
    <col min="4" max="8" width="9" style="1"/>
    <col min="9" max="9" width="5.625" customWidth="1"/>
  </cols>
  <sheetData>
    <row r="1" spans="1:50" ht="16.149999999999999" thickBot="1" x14ac:dyDescent="0.55000000000000004">
      <c r="A1" s="31" t="s">
        <v>18</v>
      </c>
      <c r="B1" s="27" t="s">
        <v>0</v>
      </c>
      <c r="C1" s="7" t="s">
        <v>2</v>
      </c>
      <c r="D1" s="34" t="s">
        <v>3</v>
      </c>
      <c r="E1" s="27" t="s">
        <v>11</v>
      </c>
      <c r="F1" s="32" t="s">
        <v>5</v>
      </c>
      <c r="G1" s="27" t="s">
        <v>7</v>
      </c>
      <c r="H1" s="33" t="s">
        <v>6</v>
      </c>
      <c r="J1" s="3"/>
      <c r="K1" s="5"/>
      <c r="L1" s="6"/>
      <c r="M1" s="1"/>
      <c r="N1" s="1"/>
      <c r="O1" s="6"/>
      <c r="P1" s="1"/>
      <c r="Q1" s="1"/>
      <c r="R1" s="1"/>
      <c r="S1" s="1"/>
      <c r="T1" s="1"/>
      <c r="U1" s="1"/>
      <c r="V1" s="1"/>
      <c r="W1" s="1"/>
    </row>
    <row r="2" spans="1:50" ht="16.149999999999999" thickBot="1" x14ac:dyDescent="0.55000000000000004">
      <c r="A2" s="26" t="s">
        <v>1</v>
      </c>
      <c r="B2" s="27"/>
      <c r="C2" s="7"/>
      <c r="D2" s="77"/>
      <c r="E2" s="29"/>
      <c r="F2" s="28"/>
      <c r="G2" s="29"/>
      <c r="H2" s="30"/>
      <c r="J2" s="8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8"/>
    </row>
    <row r="3" spans="1:50" s="1" customFormat="1" x14ac:dyDescent="0.5">
      <c r="A3" s="17" t="s">
        <v>4</v>
      </c>
      <c r="B3" s="18" t="s">
        <v>8</v>
      </c>
      <c r="C3" s="39">
        <v>4</v>
      </c>
      <c r="D3" s="36"/>
      <c r="E3" s="20"/>
      <c r="F3" s="19"/>
      <c r="G3" s="20"/>
      <c r="H3" s="4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</row>
    <row r="4" spans="1:50" s="1" customFormat="1" x14ac:dyDescent="0.5">
      <c r="A4" s="21" t="s">
        <v>4</v>
      </c>
      <c r="B4" s="13" t="s">
        <v>8</v>
      </c>
      <c r="C4" s="40">
        <v>8</v>
      </c>
      <c r="D4" s="37"/>
      <c r="E4" s="12"/>
      <c r="F4" s="15"/>
      <c r="G4" s="12"/>
      <c r="H4" s="43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50" s="1" customFormat="1" x14ac:dyDescent="0.5">
      <c r="A5" s="21" t="s">
        <v>4</v>
      </c>
      <c r="B5" s="13" t="s">
        <v>8</v>
      </c>
      <c r="C5" s="40">
        <v>16</v>
      </c>
      <c r="D5" s="37"/>
      <c r="E5" s="12"/>
      <c r="F5" s="15"/>
      <c r="G5" s="12"/>
      <c r="H5" s="43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50" s="1" customFormat="1" x14ac:dyDescent="0.5">
      <c r="A6" s="21" t="s">
        <v>4</v>
      </c>
      <c r="B6" s="13" t="s">
        <v>8</v>
      </c>
      <c r="C6" s="40">
        <v>32</v>
      </c>
      <c r="D6" s="37"/>
      <c r="E6" s="12"/>
      <c r="F6" s="15"/>
      <c r="G6" s="12"/>
      <c r="H6" s="43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50" s="1" customFormat="1" x14ac:dyDescent="0.5">
      <c r="A7" s="21" t="s">
        <v>4</v>
      </c>
      <c r="B7" s="14" t="s">
        <v>9</v>
      </c>
      <c r="C7" s="40">
        <v>4</v>
      </c>
      <c r="D7" s="37"/>
      <c r="E7" s="12"/>
      <c r="F7" s="15"/>
      <c r="G7" s="12"/>
      <c r="H7" s="43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50" s="1" customFormat="1" x14ac:dyDescent="0.5">
      <c r="A8" s="21" t="s">
        <v>4</v>
      </c>
      <c r="B8" s="14" t="s">
        <v>9</v>
      </c>
      <c r="C8" s="40">
        <v>8</v>
      </c>
      <c r="D8" s="37"/>
      <c r="E8" s="12"/>
      <c r="F8" s="15"/>
      <c r="G8" s="12"/>
      <c r="H8" s="43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</row>
    <row r="9" spans="1:50" s="1" customFormat="1" x14ac:dyDescent="0.5">
      <c r="A9" s="21" t="s">
        <v>4</v>
      </c>
      <c r="B9" s="14" t="s">
        <v>9</v>
      </c>
      <c r="C9" s="40">
        <v>16</v>
      </c>
      <c r="D9" s="37"/>
      <c r="E9" s="12"/>
      <c r="F9" s="15"/>
      <c r="G9" s="12"/>
      <c r="H9" s="43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</row>
    <row r="10" spans="1:50" s="1" customFormat="1" x14ac:dyDescent="0.5">
      <c r="A10" s="21" t="s">
        <v>4</v>
      </c>
      <c r="B10" s="14" t="s">
        <v>9</v>
      </c>
      <c r="C10" s="40">
        <v>32</v>
      </c>
      <c r="D10" s="37"/>
      <c r="E10" s="12"/>
      <c r="F10" s="15"/>
      <c r="G10" s="12"/>
      <c r="H10" s="43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</row>
    <row r="11" spans="1:50" s="1" customFormat="1" x14ac:dyDescent="0.5">
      <c r="A11" s="21" t="s">
        <v>4</v>
      </c>
      <c r="B11" s="14" t="s">
        <v>10</v>
      </c>
      <c r="C11" s="40">
        <v>4</v>
      </c>
      <c r="D11" s="37"/>
      <c r="E11" s="12"/>
      <c r="F11" s="15"/>
      <c r="G11" s="12"/>
      <c r="H11" s="43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</row>
    <row r="12" spans="1:50" s="1" customFormat="1" x14ac:dyDescent="0.5">
      <c r="A12" s="21" t="s">
        <v>4</v>
      </c>
      <c r="B12" s="14" t="s">
        <v>10</v>
      </c>
      <c r="C12" s="40">
        <v>8</v>
      </c>
      <c r="D12" s="37"/>
      <c r="E12" s="12"/>
      <c r="F12" s="15"/>
      <c r="G12" s="12"/>
      <c r="H12" s="43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</row>
    <row r="13" spans="1:50" s="1" customFormat="1" x14ac:dyDescent="0.5">
      <c r="A13" s="21" t="s">
        <v>4</v>
      </c>
      <c r="B13" s="14" t="s">
        <v>10</v>
      </c>
      <c r="C13" s="40">
        <v>16</v>
      </c>
      <c r="D13" s="37"/>
      <c r="E13" s="12"/>
      <c r="F13" s="15"/>
      <c r="G13" s="12"/>
      <c r="H13" s="43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</row>
    <row r="14" spans="1:50" s="1" customFormat="1" ht="16.149999999999999" thickBot="1" x14ac:dyDescent="0.55000000000000004">
      <c r="A14" s="22" t="s">
        <v>4</v>
      </c>
      <c r="B14" s="23" t="s">
        <v>10</v>
      </c>
      <c r="C14" s="41">
        <v>32</v>
      </c>
      <c r="D14" s="38"/>
      <c r="E14" s="25"/>
      <c r="F14" s="24"/>
      <c r="G14" s="25"/>
      <c r="H14" s="44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</row>
    <row r="15" spans="1:50" x14ac:dyDescent="0.5">
      <c r="A15" s="17" t="s">
        <v>12</v>
      </c>
      <c r="B15" s="18" t="s">
        <v>8</v>
      </c>
      <c r="C15" s="39">
        <v>4</v>
      </c>
      <c r="D15" s="36"/>
      <c r="E15" s="20"/>
      <c r="F15" s="19"/>
      <c r="G15" s="20"/>
      <c r="H15" s="4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Y15" s="8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</row>
    <row r="16" spans="1:50" x14ac:dyDescent="0.5">
      <c r="A16" s="21" t="s">
        <v>12</v>
      </c>
      <c r="B16" s="13" t="s">
        <v>8</v>
      </c>
      <c r="C16" s="40">
        <v>8</v>
      </c>
      <c r="D16" s="37"/>
      <c r="E16" s="12"/>
      <c r="F16" s="15"/>
      <c r="G16" s="12"/>
      <c r="H16" s="43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Y16" s="8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"/>
      <c r="AU16" s="1"/>
      <c r="AV16" s="1"/>
      <c r="AW16" s="1"/>
      <c r="AX16" s="1"/>
    </row>
    <row r="17" spans="1:50" x14ac:dyDescent="0.5">
      <c r="A17" s="21" t="s">
        <v>12</v>
      </c>
      <c r="B17" s="13" t="s">
        <v>8</v>
      </c>
      <c r="C17" s="40">
        <v>16</v>
      </c>
      <c r="D17" s="37"/>
      <c r="E17" s="12"/>
      <c r="F17" s="15"/>
      <c r="G17" s="12"/>
      <c r="H17" s="43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Y17" s="8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  <c r="AQ17" s="10"/>
      <c r="AR17" s="10"/>
      <c r="AS17" s="10"/>
      <c r="AT17" s="1"/>
      <c r="AU17" s="1"/>
      <c r="AV17" s="1"/>
      <c r="AW17" s="1"/>
      <c r="AX17" s="1"/>
    </row>
    <row r="18" spans="1:50" x14ac:dyDescent="0.5">
      <c r="A18" s="21" t="s">
        <v>12</v>
      </c>
      <c r="B18" s="13" t="s">
        <v>8</v>
      </c>
      <c r="C18" s="40">
        <v>32</v>
      </c>
      <c r="D18" s="37"/>
      <c r="E18" s="12"/>
      <c r="F18" s="15"/>
      <c r="G18" s="12"/>
      <c r="H18" s="43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Y18" s="8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"/>
      <c r="AU18" s="1"/>
      <c r="AV18" s="1"/>
      <c r="AW18" s="1"/>
      <c r="AX18" s="1"/>
    </row>
    <row r="19" spans="1:50" x14ac:dyDescent="0.5">
      <c r="A19" s="21" t="s">
        <v>12</v>
      </c>
      <c r="B19" s="14" t="s">
        <v>9</v>
      </c>
      <c r="C19" s="40">
        <v>4</v>
      </c>
      <c r="D19" s="37"/>
      <c r="E19" s="12"/>
      <c r="F19" s="15"/>
      <c r="G19" s="12"/>
      <c r="H19" s="43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Y19" s="2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</row>
    <row r="20" spans="1:50" x14ac:dyDescent="0.5">
      <c r="A20" s="21" t="s">
        <v>12</v>
      </c>
      <c r="B20" s="14" t="s">
        <v>9</v>
      </c>
      <c r="C20" s="40">
        <v>8</v>
      </c>
      <c r="D20" s="37"/>
      <c r="E20" s="12"/>
      <c r="F20" s="15"/>
      <c r="G20" s="12"/>
      <c r="H20" s="43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Y20" s="3"/>
      <c r="Z20" s="5"/>
      <c r="AA20" s="6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</row>
    <row r="21" spans="1:50" x14ac:dyDescent="0.5">
      <c r="A21" s="21" t="s">
        <v>12</v>
      </c>
      <c r="B21" s="14" t="s">
        <v>9</v>
      </c>
      <c r="C21" s="40">
        <v>16</v>
      </c>
      <c r="D21" s="37"/>
      <c r="E21" s="12"/>
      <c r="F21" s="15"/>
      <c r="G21" s="12"/>
      <c r="H21" s="43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Y21" s="4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</row>
    <row r="22" spans="1:50" x14ac:dyDescent="0.5">
      <c r="A22" s="21" t="s">
        <v>12</v>
      </c>
      <c r="B22" s="14" t="s">
        <v>9</v>
      </c>
      <c r="C22" s="40">
        <v>32</v>
      </c>
      <c r="D22" s="37"/>
      <c r="E22" s="12"/>
      <c r="F22" s="15"/>
      <c r="G22" s="12"/>
      <c r="H22" s="43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Y22" s="2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</row>
    <row r="23" spans="1:50" x14ac:dyDescent="0.5">
      <c r="A23" s="21" t="s">
        <v>12</v>
      </c>
      <c r="B23" s="14" t="s">
        <v>10</v>
      </c>
      <c r="C23" s="40">
        <v>4</v>
      </c>
      <c r="D23" s="37"/>
      <c r="E23" s="12"/>
      <c r="F23" s="15"/>
      <c r="G23" s="12"/>
      <c r="H23" s="43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Y23" s="8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9"/>
      <c r="AW23" s="9"/>
      <c r="AX23" s="9"/>
    </row>
    <row r="24" spans="1:50" x14ac:dyDescent="0.5">
      <c r="A24" s="21" t="s">
        <v>12</v>
      </c>
      <c r="B24" s="14" t="s">
        <v>10</v>
      </c>
      <c r="C24" s="40">
        <v>8</v>
      </c>
      <c r="D24" s="37"/>
      <c r="E24" s="12"/>
      <c r="F24" s="15"/>
      <c r="G24" s="12"/>
      <c r="H24" s="43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Y24" s="8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"/>
      <c r="AU24" s="1"/>
      <c r="AV24" s="1"/>
      <c r="AW24" s="1"/>
      <c r="AX24" s="1"/>
    </row>
    <row r="25" spans="1:50" x14ac:dyDescent="0.5">
      <c r="A25" s="21" t="s">
        <v>12</v>
      </c>
      <c r="B25" s="14" t="s">
        <v>10</v>
      </c>
      <c r="C25" s="40">
        <v>16</v>
      </c>
      <c r="D25" s="37"/>
      <c r="E25" s="12"/>
      <c r="F25" s="15"/>
      <c r="G25" s="12"/>
      <c r="H25" s="43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Y25" s="8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"/>
      <c r="AU25" s="1"/>
      <c r="AV25" s="1"/>
      <c r="AW25" s="1"/>
      <c r="AX25" s="1"/>
    </row>
    <row r="26" spans="1:50" ht="16.149999999999999" thickBot="1" x14ac:dyDescent="0.55000000000000004">
      <c r="A26" s="22" t="s">
        <v>12</v>
      </c>
      <c r="B26" s="23" t="s">
        <v>10</v>
      </c>
      <c r="C26" s="41">
        <v>32</v>
      </c>
      <c r="D26" s="38"/>
      <c r="E26" s="25"/>
      <c r="F26" s="24"/>
      <c r="G26" s="25"/>
      <c r="H26" s="44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Y26" s="8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  <c r="AR26" s="10"/>
      <c r="AS26" s="10"/>
      <c r="AT26" s="1"/>
      <c r="AU26" s="1"/>
      <c r="AV26" s="1"/>
      <c r="AW26" s="1"/>
      <c r="AX26" s="1"/>
    </row>
    <row r="27" spans="1:50" x14ac:dyDescent="0.5">
      <c r="A27" s="17" t="s">
        <v>13</v>
      </c>
      <c r="B27" s="18" t="s">
        <v>8</v>
      </c>
      <c r="C27" s="39">
        <v>4</v>
      </c>
      <c r="D27" s="48"/>
      <c r="E27" s="20"/>
      <c r="F27" s="19"/>
      <c r="G27" s="20"/>
      <c r="H27" s="4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</row>
    <row r="28" spans="1:50" x14ac:dyDescent="0.5">
      <c r="A28" s="21" t="s">
        <v>13</v>
      </c>
      <c r="B28" s="13" t="s">
        <v>8</v>
      </c>
      <c r="C28" s="40">
        <v>8</v>
      </c>
      <c r="D28" s="49"/>
      <c r="E28" s="12"/>
      <c r="F28" s="15"/>
      <c r="G28" s="12"/>
      <c r="H28" s="43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</row>
    <row r="29" spans="1:50" x14ac:dyDescent="0.5">
      <c r="A29" s="21" t="s">
        <v>13</v>
      </c>
      <c r="B29" s="13" t="s">
        <v>8</v>
      </c>
      <c r="C29" s="40">
        <v>16</v>
      </c>
      <c r="D29" s="49"/>
      <c r="E29" s="12"/>
      <c r="F29" s="15"/>
      <c r="G29" s="12"/>
      <c r="H29" s="43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</row>
    <row r="30" spans="1:50" x14ac:dyDescent="0.5">
      <c r="A30" s="21" t="s">
        <v>13</v>
      </c>
      <c r="B30" s="13" t="s">
        <v>8</v>
      </c>
      <c r="C30" s="40">
        <v>32</v>
      </c>
      <c r="D30" s="49"/>
      <c r="E30" s="12"/>
      <c r="F30" s="15"/>
      <c r="G30" s="12"/>
      <c r="H30" s="43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</row>
    <row r="31" spans="1:50" x14ac:dyDescent="0.5">
      <c r="A31" s="21" t="s">
        <v>13</v>
      </c>
      <c r="B31" s="14" t="s">
        <v>9</v>
      </c>
      <c r="C31" s="40">
        <v>4</v>
      </c>
      <c r="D31" s="49"/>
      <c r="E31" s="12"/>
      <c r="F31" s="15"/>
      <c r="G31" s="12"/>
      <c r="H31" s="43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</row>
    <row r="32" spans="1:50" x14ac:dyDescent="0.5">
      <c r="A32" s="21" t="s">
        <v>13</v>
      </c>
      <c r="B32" s="14" t="s">
        <v>9</v>
      </c>
      <c r="C32" s="40">
        <v>8</v>
      </c>
      <c r="D32" s="49"/>
      <c r="E32" s="12"/>
      <c r="F32" s="15"/>
      <c r="G32" s="12"/>
      <c r="H32" s="43"/>
    </row>
    <row r="33" spans="1:8" x14ac:dyDescent="0.5">
      <c r="A33" s="21" t="s">
        <v>13</v>
      </c>
      <c r="B33" s="14" t="s">
        <v>9</v>
      </c>
      <c r="C33" s="40">
        <v>16</v>
      </c>
      <c r="D33" s="49"/>
      <c r="E33" s="12"/>
      <c r="F33" s="15"/>
      <c r="G33" s="12"/>
      <c r="H33" s="43"/>
    </row>
    <row r="34" spans="1:8" x14ac:dyDescent="0.5">
      <c r="A34" s="21" t="s">
        <v>13</v>
      </c>
      <c r="B34" s="14" t="s">
        <v>9</v>
      </c>
      <c r="C34" s="40">
        <v>32</v>
      </c>
      <c r="D34" s="49"/>
      <c r="E34" s="12"/>
      <c r="F34" s="15"/>
      <c r="G34" s="12"/>
      <c r="H34" s="43"/>
    </row>
    <row r="35" spans="1:8" x14ac:dyDescent="0.5">
      <c r="A35" s="21" t="s">
        <v>13</v>
      </c>
      <c r="B35" s="14" t="s">
        <v>10</v>
      </c>
      <c r="C35" s="40">
        <v>4</v>
      </c>
      <c r="D35" s="49"/>
      <c r="E35" s="12"/>
      <c r="F35" s="15"/>
      <c r="G35" s="12"/>
      <c r="H35" s="43"/>
    </row>
    <row r="36" spans="1:8" x14ac:dyDescent="0.5">
      <c r="A36" s="21" t="s">
        <v>13</v>
      </c>
      <c r="B36" s="14" t="s">
        <v>10</v>
      </c>
      <c r="C36" s="40">
        <v>8</v>
      </c>
      <c r="D36" s="49"/>
      <c r="E36" s="12"/>
      <c r="F36" s="15"/>
      <c r="G36" s="12"/>
      <c r="H36" s="43"/>
    </row>
    <row r="37" spans="1:8" x14ac:dyDescent="0.5">
      <c r="A37" s="21" t="s">
        <v>13</v>
      </c>
      <c r="B37" s="14" t="s">
        <v>10</v>
      </c>
      <c r="C37" s="40">
        <v>16</v>
      </c>
      <c r="D37" s="49"/>
      <c r="E37" s="12"/>
      <c r="F37" s="15"/>
      <c r="G37" s="12"/>
      <c r="H37" s="43"/>
    </row>
    <row r="38" spans="1:8" ht="16.149999999999999" thickBot="1" x14ac:dyDescent="0.55000000000000004">
      <c r="A38" s="22" t="s">
        <v>13</v>
      </c>
      <c r="B38" s="23" t="s">
        <v>10</v>
      </c>
      <c r="C38" s="41">
        <v>32</v>
      </c>
      <c r="D38" s="50"/>
      <c r="E38" s="25"/>
      <c r="F38" s="45"/>
      <c r="G38" s="46"/>
      <c r="H38" s="47"/>
    </row>
  </sheetData>
  <conditionalFormatting sqref="D3:D38">
    <cfRule type="cellIs" dxfId="2" priority="3" operator="greaterThan">
      <formula>82.885</formula>
    </cfRule>
  </conditionalFormatting>
  <conditionalFormatting sqref="E3:E38">
    <cfRule type="cellIs" dxfId="1" priority="2" operator="greaterThan">
      <formula>6.52</formula>
    </cfRule>
  </conditionalFormatting>
  <conditionalFormatting sqref="F3:F38">
    <cfRule type="cellIs" dxfId="0" priority="1" operator="greaterThan">
      <formula>0.3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100%</vt:lpstr>
      <vt:lpstr>1%</vt:lpstr>
      <vt:lpstr>50%</vt:lpstr>
      <vt:lpstr>10%</vt:lpstr>
      <vt:lpstr>5%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Olga Blinova</dc:creator>
  <cp:lastModifiedBy>Olga Blinova</cp:lastModifiedBy>
  <dcterms:created xsi:type="dcterms:W3CDTF">2026-03-03T16:22:26Z</dcterms:created>
  <dcterms:modified xsi:type="dcterms:W3CDTF">2026-03-08T01:28:54Z</dcterms:modified>
</cp:coreProperties>
</file>